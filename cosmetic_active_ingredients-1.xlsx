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gredients" sheetId="1" state="visible" r:id="rId3"/>
    <sheet name="Category Summary" sheetId="2" state="visible" r:id="rId4"/>
    <sheet name="Lookup Tool"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<sst xmlns="http://schemas.openxmlformats.org/spreadsheetml/2006/main" count="1249" uniqueCount="526">
  <si>
    <t xml:space="preserve">Cosmetic Ingredient Database (100 Ingredients) - Formulation Reference</t>
  </si>
  <si>
    <t xml:space="preserve">Category</t>
  </si>
  <si>
    <t xml:space="preserve">Scientific / INCI Name</t>
  </si>
  <si>
    <t xml:space="preserve">Safe Usage %</t>
  </si>
  <si>
    <t xml:space="preserve">Min Safe %</t>
  </si>
  <si>
    <t xml:space="preserve">Max Safe %</t>
  </si>
  <si>
    <t xml:space="preserve">EU Regulatory Restriction (EC 1223/2009)</t>
  </si>
  <si>
    <t xml:space="preserve">USA Regulatory Restriction (FDA)</t>
  </si>
  <si>
    <t xml:space="preserve">Source</t>
  </si>
  <si>
    <t xml:space="preserve">Common Issues</t>
  </si>
  <si>
    <t xml:space="preserve">pH Range</t>
  </si>
  <si>
    <t xml:space="preserve">Temperature Stability</t>
  </si>
  <si>
    <t xml:space="preserve">Interactions / Reactivity</t>
  </si>
  <si>
    <t xml:space="preserve">Incompatible With</t>
  </si>
  <si>
    <t xml:space="preserve">Sensitization Risk</t>
  </si>
  <si>
    <t xml:space="preserve">Your Formulation % (input)</t>
  </si>
  <si>
    <t xml:space="preserve">Humectants</t>
  </si>
  <si>
    <t xml:space="preserve">Glycerin</t>
  </si>
  <si>
    <t xml:space="preserve">3% - 10%</t>
  </si>
  <si>
    <t xml:space="preserve">No specific restriction</t>
  </si>
  <si>
    <t xml:space="preserve">No specific restriction; GRAS</t>
  </si>
  <si>
    <t xml:space="preserve">EU CosIng</t>
  </si>
  <si>
    <t xml:space="preserve">Sticky/tacky feel at high %; can feel heavy in humid climates</t>
  </si>
  <si>
    <t xml:space="preserve">4 - 8</t>
  </si>
  <si>
    <t xml:space="preserve">Stable up to 100°C</t>
  </si>
  <si>
    <t xml:space="preserve">Hygroscopic, draws moisture from air</t>
  </si>
  <si>
    <t xml:space="preserve">None significant</t>
  </si>
  <si>
    <t xml:space="preserve">Low</t>
  </si>
  <si>
    <t xml:space="preserve">Propylene Glycol</t>
  </si>
  <si>
    <t xml:space="preserve">2% - 10%</t>
  </si>
  <si>
    <t xml:space="preserve">EU CosIng / FDA GRAS</t>
  </si>
  <si>
    <t xml:space="preserve">Contact irritation/dermatitis in sensitive skin at high %</t>
  </si>
  <si>
    <t xml:space="preserve">4 - 7</t>
  </si>
  <si>
    <t xml:space="preserve">Stable</t>
  </si>
  <si>
    <t xml:space="preserve">Penetration enhancer for other actives</t>
  </si>
  <si>
    <t xml:space="preserve">None major</t>
  </si>
  <si>
    <t xml:space="preserve">Medium</t>
  </si>
  <si>
    <t xml:space="preserve">Butylene Glycol</t>
  </si>
  <si>
    <t xml:space="preserve">Mild irritant at high concentration</t>
  </si>
  <si>
    <t xml:space="preserve">Solvent; boosts preservative efficacy</t>
  </si>
  <si>
    <t xml:space="preserve">None</t>
  </si>
  <si>
    <t xml:space="preserve">Sodium Hyaluronate</t>
  </si>
  <si>
    <t xml:space="preserve">0.1% - 2%</t>
  </si>
  <si>
    <t xml:space="preserve">Can dehydrate skin in low humidity if used without occlusive</t>
  </si>
  <si>
    <t xml:space="preserve">5 - 7</t>
  </si>
  <si>
    <t xml:space="preserve">Degrades above 80°C</t>
  </si>
  <si>
    <t xml:space="preserve">Binds water; synergizes with occlusives</t>
  </si>
  <si>
    <t xml:space="preserve">Sodium PCA</t>
  </si>
  <si>
    <t xml:space="preserve">1% - 5%</t>
  </si>
  <si>
    <t xml:space="preserve">Minimal, generally well tolerated</t>
  </si>
  <si>
    <t xml:space="preserve">Urea</t>
  </si>
  <si>
    <t xml:space="preserve">Max 10% (higher % requires irritation warning) - Annex III</t>
  </si>
  <si>
    <t xml:space="preserve">No specific FDA limit for cosmetic use</t>
  </si>
  <si>
    <t xml:space="preserve">EU Annex III</t>
  </si>
  <si>
    <t xml:space="preserve">Stinging on broken/sensitive skin above 10%</t>
  </si>
  <si>
    <t xml:space="preserve">Keratolytic; enhances penetration of other actives</t>
  </si>
  <si>
    <t xml:space="preserve">Strong oxidizers</t>
  </si>
  <si>
    <t xml:space="preserve">Low-Medium</t>
  </si>
  <si>
    <t xml:space="preserve">Betaine</t>
  </si>
  <si>
    <t xml:space="preserve">None common</t>
  </si>
  <si>
    <t xml:space="preserve">Osmoprotectant</t>
  </si>
  <si>
    <t xml:space="preserve">Panthenol</t>
  </si>
  <si>
    <t xml:space="preserve">Up to 5%</t>
  </si>
  <si>
    <t xml:space="preserve">Rare</t>
  </si>
  <si>
    <t xml:space="preserve">Sensitive to prolonged high heat</t>
  </si>
  <si>
    <t xml:space="preserve">Converts to Vitamin B5/pantothenic acid</t>
  </si>
  <si>
    <t xml:space="preserve">Honey Extract (Mel Extract)</t>
  </si>
  <si>
    <t xml:space="preserve">1% - 10%</t>
  </si>
  <si>
    <t xml:space="preserve">Possible allergy in bee-product-sensitive users</t>
  </si>
  <si>
    <t xml:space="preserve">4 - 6</t>
  </si>
  <si>
    <t xml:space="preserve">Degrades with high heat</t>
  </si>
  <si>
    <t xml:space="preserve">Mild antibacterial activity</t>
  </si>
  <si>
    <t xml:space="preserve">Aloe Barbadensis Leaf Juice</t>
  </si>
  <si>
    <t xml:space="preserve">10% - 90% (as base)</t>
  </si>
  <si>
    <t xml:space="preserve">Rare allergic reaction; needs robust preservation</t>
  </si>
  <si>
    <t xml:space="preserve">4 - 5</t>
  </si>
  <si>
    <t xml:space="preserve">Heat sensitive</t>
  </si>
  <si>
    <t xml:space="preserve">Soothing, mild film former</t>
  </si>
  <si>
    <t xml:space="preserve">Emollients &amp; Moisturizers</t>
  </si>
  <si>
    <t xml:space="preserve">Squalane</t>
  </si>
  <si>
    <t xml:space="preserve">Up to 100% (oil phase)</t>
  </si>
  <si>
    <t xml:space="preserve">Rarely comedogenic in very acne-prone skin</t>
  </si>
  <si>
    <t xml:space="preserve">N/A</t>
  </si>
  <si>
    <t xml:space="preserve">Stable; oxidizes slowly</t>
  </si>
  <si>
    <t xml:space="preserve">Needs antioxidant for long shelf life</t>
  </si>
  <si>
    <t xml:space="preserve">Shea Butter (Butyrospermum Parkii)</t>
  </si>
  <si>
    <t xml:space="preserve">1% - 30%</t>
  </si>
  <si>
    <t xml:space="preserve">No specific restriction; nut-allergen labeling</t>
  </si>
  <si>
    <t xml:space="preserve">Possible tree-nut-derived allergy</t>
  </si>
  <si>
    <t xml:space="preserve">Melts ~35°C</t>
  </si>
  <si>
    <t xml:space="preserve">Jojoba Oil (Simmondsia Chinensis)</t>
  </si>
  <si>
    <t xml:space="preserve">1% - 100%</t>
  </si>
  <si>
    <t xml:space="preserve">Stable; high oxidative stability</t>
  </si>
  <si>
    <t xml:space="preserve">Mimics natural sebum</t>
  </si>
  <si>
    <t xml:space="preserve">Dimethicone</t>
  </si>
  <si>
    <t xml:space="preserve">Can feel occlusive/heavy; environmental persistence concern</t>
  </si>
  <si>
    <t xml:space="preserve">Very stable</t>
  </si>
  <si>
    <t xml:space="preserve">Forms surface film; may trap other actives underneath</t>
  </si>
  <si>
    <t xml:space="preserve">Cetyl Alcohol</t>
  </si>
  <si>
    <t xml:space="preserve">Rare contact dermatitis (fatty alcohol, not drying)</t>
  </si>
  <si>
    <t xml:space="preserve">Melts ~50°C</t>
  </si>
  <si>
    <t xml:space="preserve">Co-emulsifier/thickener</t>
  </si>
  <si>
    <t xml:space="preserve">Isopropyl Myristate</t>
  </si>
  <si>
    <t xml:space="preserve">Comedogenic in some individuals</t>
  </si>
  <si>
    <t xml:space="preserve">Penetration enhancer</t>
  </si>
  <si>
    <t xml:space="preserve">Mineral Oil (Paraffinum Liquidum)</t>
  </si>
  <si>
    <t xml:space="preserve">Must be fully refined, food/cosmetic grade - Annex II</t>
  </si>
  <si>
    <t xml:space="preserve">Must meet USP/NF grade purity</t>
  </si>
  <si>
    <t xml:space="preserve">EU Annex II</t>
  </si>
  <si>
    <t xml:space="preserve">Perceived heaviness; unrefined grade is carcinogenic and banned</t>
  </si>
  <si>
    <t xml:space="preserve">Occlusive film former</t>
  </si>
  <si>
    <t xml:space="preserve">Lanolin</t>
  </si>
  <si>
    <t xml:space="preserve">No specific restriction; allergen labeling</t>
  </si>
  <si>
    <t xml:space="preserve">Known contact allergen (wool-derived)</t>
  </si>
  <si>
    <t xml:space="preserve">High</t>
  </si>
  <si>
    <t xml:space="preserve">Cocoa Butter (Theobroma Cacao)</t>
  </si>
  <si>
    <t xml:space="preserve">1% - 20%</t>
  </si>
  <si>
    <t xml:space="preserve">Comedogenic tendency; possible allergy</t>
  </si>
  <si>
    <t xml:space="preserve">Melts ~34°C</t>
  </si>
  <si>
    <t xml:space="preserve">Glyceryl Stearate</t>
  </si>
  <si>
    <t xml:space="preserve">Melts ~58°C</t>
  </si>
  <si>
    <t xml:space="preserve">Co-emulsifier</t>
  </si>
  <si>
    <t xml:space="preserve">Active Ingredients - Brightening</t>
  </si>
  <si>
    <t xml:space="preserve">Niacinamide</t>
  </si>
  <si>
    <t xml:space="preserve">Up to 10%</t>
  </si>
  <si>
    <t xml:space="preserve">EU CosIng / CIR</t>
  </si>
  <si>
    <t xml:space="preserve">Occasional flushing/tingling at high %</t>
  </si>
  <si>
    <t xml:space="preserve">Debated conversion to niacin (flushing) when combined with low-pH Vitamin C at heat</t>
  </si>
  <si>
    <t xml:space="preserve">Vitamin C at low pH (contested/formulation-dependent)</t>
  </si>
  <si>
    <t xml:space="preserve">Alpha-Arbutin</t>
  </si>
  <si>
    <t xml:space="preserve">Up to 2%</t>
  </si>
  <si>
    <t xml:space="preserve">Max 2% face, 0.5% body lotion - Annex III</t>
  </si>
  <si>
    <t xml:space="preserve">No specific FDA limit</t>
  </si>
  <si>
    <t xml:space="preserve">Theoretical hydroquinone release risk with heat/enzymatic exposure</t>
  </si>
  <si>
    <t xml:space="preserve">Degrades above 40°C</t>
  </si>
  <si>
    <t xml:space="preserve">Can hydrolyze to hydroquinone under adverse conditions</t>
  </si>
  <si>
    <t xml:space="preserve">Kojic Acid</t>
  </si>
  <si>
    <t xml:space="preserve">Up to 1%</t>
  </si>
  <si>
    <t xml:space="preserve">Max 1% (face/hands) - Annex III</t>
  </si>
  <si>
    <t xml:space="preserve">Contact dermatitis; photosensitivity</t>
  </si>
  <si>
    <t xml:space="preserve">Unstable; browns with heat/light/air</t>
  </si>
  <si>
    <t xml:space="preserve">Oxidizes quickly</t>
  </si>
  <si>
    <t xml:space="preserve">Iron-containing ingredients</t>
  </si>
  <si>
    <t xml:space="preserve">Medium-High</t>
  </si>
  <si>
    <t xml:space="preserve">Tranexamic Acid</t>
  </si>
  <si>
    <t xml:space="preserve">2% - 5%</t>
  </si>
  <si>
    <t xml:space="preserve">No specific restriction for topical cosmetic use</t>
  </si>
  <si>
    <t xml:space="preserve">Generally well tolerated</t>
  </si>
  <si>
    <t xml:space="preserve">Vitamin C (L-Ascorbic Acid)</t>
  </si>
  <si>
    <t xml:space="preserve">5% - 20%</t>
  </si>
  <si>
    <t xml:space="preserve">Oxidizes/browns and loses potency; can irritate at low pH/high %</t>
  </si>
  <si>
    <t xml:space="preserve">2.5 - 3.5</t>
  </si>
  <si>
    <t xml:space="preserve">Unstable; degrades with heat/light/air</t>
  </si>
  <si>
    <t xml:space="preserve">Synergizes with Vitamin E and Ferulic Acid</t>
  </si>
  <si>
    <t xml:space="preserve">Copper, high-pH formulas, Benzoyl Peroxide</t>
  </si>
  <si>
    <t xml:space="preserve">Hydroquinone</t>
  </si>
  <si>
    <t xml:space="preserve">Not permitted in cosmetics (EU)</t>
  </si>
  <si>
    <t xml:space="preserve">Banned in cosmetic products (except artificial nails) - Annex II</t>
  </si>
  <si>
    <t xml:space="preserve">OTC max 2%; prescription up to 4%</t>
  </si>
  <si>
    <t xml:space="preserve">EU Annex II (banned) / FDA Monograph</t>
  </si>
  <si>
    <t xml:space="preserve">Ochronosis risk with prolonged use</t>
  </si>
  <si>
    <t xml:space="preserve">Oxidizes/discolors easily</t>
  </si>
  <si>
    <t xml:space="preserve">Oxidizes rapidly in air/light</t>
  </si>
  <si>
    <t xml:space="preserve">Benzoyl Peroxide (causes staining)</t>
  </si>
  <si>
    <t xml:space="preserve">Licorice Root Extract (Glabridin)</t>
  </si>
  <si>
    <t xml:space="preserve">0.5% - 2%</t>
  </si>
  <si>
    <t xml:space="preserve">Light-sensitive</t>
  </si>
  <si>
    <t xml:space="preserve">Azelaic Acid</t>
  </si>
  <si>
    <t xml:space="preserve">Up to 10% cosmetic / 15-20% Rx</t>
  </si>
  <si>
    <t xml:space="preserve">No specific restriction (cosmetic); Rx forms FDA-regulated</t>
  </si>
  <si>
    <t xml:space="preserve">EU CosIng / FDA NDA</t>
  </si>
  <si>
    <t xml:space="preserve">Mild stinging/redness initially</t>
  </si>
  <si>
    <t xml:space="preserve">Sodium Ascorbyl Phosphate</t>
  </si>
  <si>
    <t xml:space="preserve">More stable, generally milder than pure Vitamin C</t>
  </si>
  <si>
    <t xml:space="preserve">6 - 7</t>
  </si>
  <si>
    <t xml:space="preserve">More stable than L-Ascorbic Acid</t>
  </si>
  <si>
    <t xml:space="preserve">Stable across wider pH range</t>
  </si>
  <si>
    <t xml:space="preserve">Resorcinol</t>
  </si>
  <si>
    <t xml:space="preserve">Up to 0.5% (rinse-off)</t>
  </si>
  <si>
    <t xml:space="preserve">Max 0.5% (restricted in leave-on skin products) - Annex III</t>
  </si>
  <si>
    <t xml:space="preserve">Recognized allergen; endocrine concerns at high dose</t>
  </si>
  <si>
    <t xml:space="preserve">Active Ingredients - Anti-Aging</t>
  </si>
  <si>
    <t xml:space="preserve">Retinol</t>
  </si>
  <si>
    <t xml:space="preserve">0.1% - 1%</t>
  </si>
  <si>
    <t xml:space="preserve">Max 0.3% face products / 0.05% body lotion (2024 update) - Annex III</t>
  </si>
  <si>
    <t xml:space="preserve">No specific FDA concentration limit</t>
  </si>
  <si>
    <t xml:space="preserve">EU Annex III (2024)</t>
  </si>
  <si>
    <t xml:space="preserve">Irritation, peeling, photosensitivity (retinization)</t>
  </si>
  <si>
    <t xml:space="preserve">5.5 - 6</t>
  </si>
  <si>
    <t xml:space="preserve">Unstable; degrades with light/heat/air</t>
  </si>
  <si>
    <t xml:space="preserve">Degrades with Benzoyl Peroxide and AHA/BHA (pH mismatch/oxidation)</t>
  </si>
  <si>
    <t xml:space="preserve">Benzoyl Peroxide, Vitamin C, strong acids</t>
  </si>
  <si>
    <t xml:space="preserve">Retinaldehyde</t>
  </si>
  <si>
    <t xml:space="preserve">0.05% - 0.1%</t>
  </si>
  <si>
    <t xml:space="preserve">No specific cap; regulated similarly to retinoids</t>
  </si>
  <si>
    <t xml:space="preserve">Irritation (less than retinol at equal %, still notable)</t>
  </si>
  <si>
    <t xml:space="preserve">Unstable; light sensitive</t>
  </si>
  <si>
    <t xml:space="preserve">Similar interactions to retinol</t>
  </si>
  <si>
    <t xml:space="preserve">Benzoyl Peroxide, strong acids</t>
  </si>
  <si>
    <t xml:space="preserve">Bakuchiol</t>
  </si>
  <si>
    <t xml:space="preserve">Rare mild irritation</t>
  </si>
  <si>
    <t xml:space="preserve">5 - 6</t>
  </si>
  <si>
    <t xml:space="preserve">More stable than retinol</t>
  </si>
  <si>
    <t xml:space="preserve">Palmitoyl Pentapeptide-4 (Matrixyl)</t>
  </si>
  <si>
    <t xml:space="preserve">1% - 5% (as supplied)</t>
  </si>
  <si>
    <t xml:space="preserve">Heat sensitive (protein denaturation)</t>
  </si>
  <si>
    <t xml:space="preserve">Degraded by strong acids/high heat</t>
  </si>
  <si>
    <t xml:space="preserve">Low-pH actives</t>
  </si>
  <si>
    <t xml:space="preserve">Coenzyme Q10 (Ubiquinone)</t>
  </si>
  <si>
    <t xml:space="preserve">Light/heat sensitive antioxidant</t>
  </si>
  <si>
    <t xml:space="preserve">Synergizes with Vitamin E</t>
  </si>
  <si>
    <t xml:space="preserve">Ferulic Acid</t>
  </si>
  <si>
    <t xml:space="preserve">0.5% - 1%</t>
  </si>
  <si>
    <t xml:space="preserve">3 - 4 (stabilizing blends)</t>
  </si>
  <si>
    <t xml:space="preserve">Stabilizes Vitamin C/E combinations</t>
  </si>
  <si>
    <t xml:space="preserve">Alpha Lipoic Acid</t>
  </si>
  <si>
    <t xml:space="preserve">0.5% - 5%</t>
  </si>
  <si>
    <t xml:space="preserve">Stinging/redness; rare allergic contact dermatitis</t>
  </si>
  <si>
    <t xml:space="preserve">Heat/light sensitive</t>
  </si>
  <si>
    <t xml:space="preserve">Chelates metals</t>
  </si>
  <si>
    <t xml:space="preserve">sh-Oligopeptide (Growth Factor complex)</t>
  </si>
  <si>
    <t xml:space="preserve">Under 5%</t>
  </si>
  <si>
    <t xml:space="preserve">Limited long-term safety data; costly to stabilize</t>
  </si>
  <si>
    <t xml:space="preserve">Protein - heat sensitive, needs cold chain</t>
  </si>
  <si>
    <t xml:space="preserve">Denatures with heat</t>
  </si>
  <si>
    <t xml:space="preserve">Strong acids/oxidizers</t>
  </si>
  <si>
    <t xml:space="preserve">Hydrolyzed Collagen</t>
  </si>
  <si>
    <t xml:space="preserve">Minimal; efficacy of topical penetration debated</t>
  </si>
  <si>
    <t xml:space="preserve">Adenosine</t>
  </si>
  <si>
    <t xml:space="preserve">0.04% - 0.1%</t>
  </si>
  <si>
    <t xml:space="preserve">No fixed cap; typically &lt;0.1% for anti-wrinkle claims</t>
  </si>
  <si>
    <t xml:space="preserve">Active Ingredients - Acne &amp; Exfoliating</t>
  </si>
  <si>
    <t xml:space="preserve">Salicylic Acid</t>
  </si>
  <si>
    <t xml:space="preserve">Max 2% leave-on / 3% rinse-off - Annex III</t>
  </si>
  <si>
    <t xml:space="preserve">OTC max 2%</t>
  </si>
  <si>
    <t xml:space="preserve">EU Annex III / FDA Monograph</t>
  </si>
  <si>
    <t xml:space="preserve">Dryness, peeling, photosensitivity</t>
  </si>
  <si>
    <t xml:space="preserve">3 - 4</t>
  </si>
  <si>
    <t xml:space="preserve">Penetration enhancer; raises irritation risk with retinoids</t>
  </si>
  <si>
    <t xml:space="preserve">Retinol (irritation), Benzoyl Peroxide (formulation-dependent)</t>
  </si>
  <si>
    <t xml:space="preserve">Glycolic Acid</t>
  </si>
  <si>
    <t xml:space="preserve">Max 10% consumer use, pH &gt;= 3.5 - Annex III</t>
  </si>
  <si>
    <t xml:space="preserve">No fixed cap; industry standard 10%</t>
  </si>
  <si>
    <t xml:space="preserve">Irritation, photosensitivity, 'frosting' if overused</t>
  </si>
  <si>
    <t xml:space="preserve">Destabilizes retinol; increases UV sensitivity</t>
  </si>
  <si>
    <t xml:space="preserve">Retinol, Vitamin C (pH conflict)</t>
  </si>
  <si>
    <t xml:space="preserve">Lactic Acid</t>
  </si>
  <si>
    <t xml:space="preserve">Mild irritation, photosensitivity</t>
  </si>
  <si>
    <t xml:space="preserve">3.5 - 4</t>
  </si>
  <si>
    <t xml:space="preserve">Gentler than glycolic acid</t>
  </si>
  <si>
    <t xml:space="preserve">Retinol (irritation)</t>
  </si>
  <si>
    <t xml:space="preserve">Mandelic Acid</t>
  </si>
  <si>
    <t xml:space="preserve">No specific limit; treated as AHA (pH &gt;= 3.5 guidance)</t>
  </si>
  <si>
    <t xml:space="preserve">No fixed cap</t>
  </si>
  <si>
    <t xml:space="preserve">Mild irritation (gentlest common AHA)</t>
  </si>
  <si>
    <t xml:space="preserve">Can combine more easily with retinoids</t>
  </si>
  <si>
    <t xml:space="preserve">Benzoyl Peroxide</t>
  </si>
  <si>
    <t xml:space="preserve">Max 10% (rinse-off products) - Annex III</t>
  </si>
  <si>
    <t xml:space="preserve">OTC max 10%</t>
  </si>
  <si>
    <t xml:space="preserve">Dryness, fabric/hair bleaching, irritation</t>
  </si>
  <si>
    <t xml:space="preserve">Stable; light sensitive</t>
  </si>
  <si>
    <t xml:space="preserve">Deactivates/oxidizes Retinol and Vitamin C; bleaches Hydroquinone</t>
  </si>
  <si>
    <t xml:space="preserve">Retinol, Vitamin C, Hydroquinone</t>
  </si>
  <si>
    <t xml:space="preserve">Sulfur</t>
  </si>
  <si>
    <t xml:space="preserve">Max 10% - Annex III</t>
  </si>
  <si>
    <t xml:space="preserve">Odor, dryness, irritation</t>
  </si>
  <si>
    <t xml:space="preserve">Gluconolactone (PHA)</t>
  </si>
  <si>
    <t xml:space="preserve">Minimal; gentlest exfoliant class</t>
  </si>
  <si>
    <t xml:space="preserve">3.5 - 4.5</t>
  </si>
  <si>
    <t xml:space="preserve">Humectant plus mild exfoliation</t>
  </si>
  <si>
    <t xml:space="preserve">Tretinoin (Retinoic Acid)</t>
  </si>
  <si>
    <t xml:space="preserve">0.025% - 0.1% (prescription only)</t>
  </si>
  <si>
    <t xml:space="preserve">Banned in cosmetics; prescription drug only - Annex II</t>
  </si>
  <si>
    <t xml:space="preserve">Prescription drug only; not permitted in cosmetics</t>
  </si>
  <si>
    <t xml:space="preserve">EU Annex II (banned) / FDA Rx</t>
  </si>
  <si>
    <t xml:space="preserve">Significant irritation, photosensitivity, teratogenic risk</t>
  </si>
  <si>
    <t xml:space="preserve">Highly unstable to light/air</t>
  </si>
  <si>
    <t xml:space="preserve">Degrades with Benzoyl Peroxide and acids</t>
  </si>
  <si>
    <t xml:space="preserve">Benzoyl Peroxide, AHA/BHA</t>
  </si>
  <si>
    <t xml:space="preserve">Zinc PCA</t>
  </si>
  <si>
    <t xml:space="preserve">Sebum-regulating</t>
  </si>
  <si>
    <t xml:space="preserve">Tea Tree Oil (as acne active)</t>
  </si>
  <si>
    <t xml:space="preserve">Allergen labeling above threshold - Annex III</t>
  </si>
  <si>
    <t xml:space="preserve">Contact allergy; oxidizes into more allergenic compounds with age</t>
  </si>
  <si>
    <t xml:space="preserve">Oxidizes with heat/air exposure</t>
  </si>
  <si>
    <t xml:space="preserve">Increases sensitization potential when oxidized</t>
  </si>
  <si>
    <t xml:space="preserve">Preservatives</t>
  </si>
  <si>
    <t xml:space="preserve">Phenoxyethanol</t>
  </si>
  <si>
    <t xml:space="preserve">Max 1% - Annex V</t>
  </si>
  <si>
    <t xml:space="preserve">Industry standard max 1% (no fixed legal cap)</t>
  </si>
  <si>
    <t xml:space="preserve">EU Annex V</t>
  </si>
  <si>
    <t xml:space="preserve">Rare irritation at higher %; caution in infant products</t>
  </si>
  <si>
    <t xml:space="preserve">3 - 8</t>
  </si>
  <si>
    <t xml:space="preserve">Often paired with Ethylhexylglycerin for broad spectrum</t>
  </si>
  <si>
    <t xml:space="preserve">Methylparaben</t>
  </si>
  <si>
    <t xml:space="preserve">0.4% single / 0.8% combined parabens</t>
  </si>
  <si>
    <t xml:space="preserve">Restricted per Annex V limits</t>
  </si>
  <si>
    <t xml:space="preserve">GRAS; no fixed FDA cap</t>
  </si>
  <si>
    <t xml:space="preserve">Endocrine disruption concerns (debated); occasional allergy</t>
  </si>
  <si>
    <t xml:space="preserve">Synergizes with other parabens</t>
  </si>
  <si>
    <t xml:space="preserve">Propylparaben</t>
  </si>
  <si>
    <t xml:space="preserve">Up to 0.14% (0.8% combined mixtures)</t>
  </si>
  <si>
    <t xml:space="preserve">GRAS</t>
  </si>
  <si>
    <t xml:space="preserve">Same endocrine debate as methylparaben</t>
  </si>
  <si>
    <t xml:space="preserve">Sodium Benzoate</t>
  </si>
  <si>
    <t xml:space="preserve">Up to 0.5%</t>
  </si>
  <si>
    <t xml:space="preserve">Max 0.5% - Annex V</t>
  </si>
  <si>
    <t xml:space="preserve">Can form trace benzene with Vitamin C + light/heat</t>
  </si>
  <si>
    <t xml:space="preserve">Under 5 (effective range)</t>
  </si>
  <si>
    <t xml:space="preserve">Trace benzene formation with ascorbic acid + UV exposure</t>
  </si>
  <si>
    <t xml:space="preserve">Ascorbic Acid (with light exposure)</t>
  </si>
  <si>
    <t xml:space="preserve">Potassium Sorbate</t>
  </si>
  <si>
    <t xml:space="preserve">Up to 0.6%</t>
  </si>
  <si>
    <t xml:space="preserve">Max 0.6% - Annex V</t>
  </si>
  <si>
    <t xml:space="preserve">Mild irritation in sensitive skin</t>
  </si>
  <si>
    <t xml:space="preserve">Under 6 (effective range)</t>
  </si>
  <si>
    <t xml:space="preserve">Synergizes with Sodium Benzoate</t>
  </si>
  <si>
    <t xml:space="preserve">Benzyl Alcohol</t>
  </si>
  <si>
    <t xml:space="preserve">Allergen (fragrance-adjacent), irritation</t>
  </si>
  <si>
    <t xml:space="preserve">Mild solvent</t>
  </si>
  <si>
    <t xml:space="preserve">Ethylhexylglycerin</t>
  </si>
  <si>
    <t xml:space="preserve">No specific restriction (used as booster, not sole preservative)</t>
  </si>
  <si>
    <t xml:space="preserve">Boosts Phenoxyethanol/paraben efficacy</t>
  </si>
  <si>
    <t xml:space="preserve">Chlorphenesin</t>
  </si>
  <si>
    <t xml:space="preserve">Up to 0.3%</t>
  </si>
  <si>
    <t xml:space="preserve">Max 0.3% - Annex V</t>
  </si>
  <si>
    <t xml:space="preserve">Rare irritation</t>
  </si>
  <si>
    <t xml:space="preserve">Methylisothiazolinone (MIT)</t>
  </si>
  <si>
    <t xml:space="preserve">Up to 0.01% (rinse-off only)</t>
  </si>
  <si>
    <t xml:space="preserve">Banned in leave-on; max 0.0015% combined with MCI in rinse-off - Annex V</t>
  </si>
  <si>
    <t xml:space="preserve">Max 0.01% rinse-off; industry-restricted in leave-on</t>
  </si>
  <si>
    <t xml:space="preserve">EU Annex V (heavily restricted 2017+)</t>
  </si>
  <si>
    <t xml:space="preserve">Strong sensitizer; caused major allergy epidemic 2013-2017</t>
  </si>
  <si>
    <t xml:space="preserve">Sodium Dehydroacetate</t>
  </si>
  <si>
    <t xml:space="preserve">5 - 6.5 (effective range)</t>
  </si>
  <si>
    <t xml:space="preserve">Emulsifiers &amp; Surfactants</t>
  </si>
  <si>
    <t xml:space="preserve">Sodium Lauryl Sulfate (SLS)</t>
  </si>
  <si>
    <t xml:space="preserve">1% - 15% (cleansers)</t>
  </si>
  <si>
    <t xml:space="preserve">Strong irritant; strips natural oils, weakens skin barrier</t>
  </si>
  <si>
    <t xml:space="preserve">Strong anionic detergent</t>
  </si>
  <si>
    <t xml:space="preserve">Cationic surfactants/conditioners</t>
  </si>
  <si>
    <t xml:space="preserve">Sodium Laureth Sulfate (SLES)</t>
  </si>
  <si>
    <t xml:space="preserve">1% - 15%</t>
  </si>
  <si>
    <t xml:space="preserve">No specific restriction; 1,4-dioxane trace contaminant concern</t>
  </si>
  <si>
    <t xml:space="preserve">Milder than SLS; possible 1,4-dioxane trace contamination</t>
  </si>
  <si>
    <t xml:space="preserve">Incompatible with cationic ingredients</t>
  </si>
  <si>
    <t xml:space="preserve">Cationic surfactants</t>
  </si>
  <si>
    <t xml:space="preserve">Cocamidopropyl Betaine</t>
  </si>
  <si>
    <t xml:space="preserve">No specific restriction; known allergen from processing impurities</t>
  </si>
  <si>
    <t xml:space="preserve">Contact allergy linked to amidoamine/DMAPA impurities</t>
  </si>
  <si>
    <t xml:space="preserve">Mild co-surfactant</t>
  </si>
  <si>
    <t xml:space="preserve">Polysorbate 20</t>
  </si>
  <si>
    <t xml:space="preserve">Solubilizes oils/fragrance in water</t>
  </si>
  <si>
    <t xml:space="preserve">Cetearyl Alcohol</t>
  </si>
  <si>
    <t xml:space="preserve">1% - 6%</t>
  </si>
  <si>
    <t xml:space="preserve">Rare (fatty alcohol, not a drying alcohol)</t>
  </si>
  <si>
    <t xml:space="preserve">Glyceryl Stearate Citrate</t>
  </si>
  <si>
    <t xml:space="preserve">2% - 6%</t>
  </si>
  <si>
    <t xml:space="preserve">Natural emulsifier</t>
  </si>
  <si>
    <t xml:space="preserve">Lecithin</t>
  </si>
  <si>
    <t xml:space="preserve">Possible soy/egg allergy depending on source</t>
  </si>
  <si>
    <t xml:space="preserve">Heat sensitive; oxidizes</t>
  </si>
  <si>
    <t xml:space="preserve">Natural emulsifier and mild antioxidant</t>
  </si>
  <si>
    <t xml:space="preserve">PEG-100 Stearate</t>
  </si>
  <si>
    <t xml:space="preserve">No specific restriction; 1,4-dioxane trace concern</t>
  </si>
  <si>
    <t xml:space="preserve">Possible trace contamination; penetration enhancer debate</t>
  </si>
  <si>
    <t xml:space="preserve">Enhances penetration of co-formulated actives</t>
  </si>
  <si>
    <t xml:space="preserve">Xanthan Gum</t>
  </si>
  <si>
    <t xml:space="preserve">0.2% - 1%</t>
  </si>
  <si>
    <t xml:space="preserve">4 - 10</t>
  </si>
  <si>
    <t xml:space="preserve">Stable but shear-sensitive</t>
  </si>
  <si>
    <t xml:space="preserve">Thickener/stabilizer</t>
  </si>
  <si>
    <t xml:space="preserve">High electrolyte content reduces viscosity</t>
  </si>
  <si>
    <t xml:space="preserve">Carbomer</t>
  </si>
  <si>
    <t xml:space="preserve">Requires neutralization (TEA/NaOH); can feel tacky</t>
  </si>
  <si>
    <t xml:space="preserve">5 - 7 (post-neutralization)</t>
  </si>
  <si>
    <t xml:space="preserve">Incompatible with high electrolyte/salt content</t>
  </si>
  <si>
    <t xml:space="preserve">Electrolytes, cationic polymers</t>
  </si>
  <si>
    <t xml:space="preserve">Antioxidants</t>
  </si>
  <si>
    <t xml:space="preserve">Tocopherol (Vitamin E)</t>
  </si>
  <si>
    <t xml:space="preserve">Rare contact dermatitis</t>
  </si>
  <si>
    <t xml:space="preserve">Synergizes with Vitamin C and Ferulic Acid</t>
  </si>
  <si>
    <t xml:space="preserve">Green Tea Extract (EGCG)</t>
  </si>
  <si>
    <t xml:space="preserve">Antioxidant synergist</t>
  </si>
  <si>
    <t xml:space="preserve">Resveratrol</t>
  </si>
  <si>
    <t xml:space="preserve">Light sensitive</t>
  </si>
  <si>
    <t xml:space="preserve">Astaxanthin</t>
  </si>
  <si>
    <t xml:space="preserve">0.05% - 0.5%</t>
  </si>
  <si>
    <t xml:space="preserve">Rare; can tint product pink/orange</t>
  </si>
  <si>
    <t xml:space="preserve">Very light/heat sensitive</t>
  </si>
  <si>
    <t xml:space="preserve">Idebenone</t>
  </si>
  <si>
    <t xml:space="preserve">Possible irritation in sensitive skin</t>
  </si>
  <si>
    <t xml:space="preserve">Grape Seed Extract</t>
  </si>
  <si>
    <t xml:space="preserve">Niacin (free form Vitamin B3)</t>
  </si>
  <si>
    <t xml:space="preserve">No specific restriction; known vasodilator</t>
  </si>
  <si>
    <t xml:space="preserve">Flushing/redness (vasodilation)</t>
  </si>
  <si>
    <t xml:space="preserve">Can form from Niacinamide under heat + low pH</t>
  </si>
  <si>
    <t xml:space="preserve">Butylated Hydroxytoluene (BHT)</t>
  </si>
  <si>
    <t xml:space="preserve">0.01% - 0.1%</t>
  </si>
  <si>
    <t xml:space="preserve">Restricted per product type - Annex III</t>
  </si>
  <si>
    <t xml:space="preserve">GRAS at low levels</t>
  </si>
  <si>
    <t xml:space="preserve">Possible endocrine/allergy concerns at high exposure</t>
  </si>
  <si>
    <t xml:space="preserve">Synthetic antioxidant; stabilizes oils</t>
  </si>
  <si>
    <t xml:space="preserve">Ubiquinol</t>
  </si>
  <si>
    <t xml:space="preserve">Very oxygen/heat sensitive</t>
  </si>
  <si>
    <t xml:space="preserve">Reduced form of CoQ10, unstable in air</t>
  </si>
  <si>
    <t xml:space="preserve">Sodium Metabisulfite</t>
  </si>
  <si>
    <t xml:space="preserve">Up to 0.2%</t>
  </si>
  <si>
    <t xml:space="preserve">Max 0.2% - Annex III</t>
  </si>
  <si>
    <t xml:space="preserve">Sulfite allergen labeling required</t>
  </si>
  <si>
    <t xml:space="preserve">Known allergen, especially in asthmatics</t>
  </si>
  <si>
    <t xml:space="preserve">Antioxidant/preservative booster</t>
  </si>
  <si>
    <t xml:space="preserve">UV Filters</t>
  </si>
  <si>
    <t xml:space="preserve">Zinc Oxide</t>
  </si>
  <si>
    <t xml:space="preserve">Up to 25%</t>
  </si>
  <si>
    <t xml:space="preserve">Max 25% - Annex VI</t>
  </si>
  <si>
    <t xml:space="preserve">Max 25% - Sunscreen Monograph</t>
  </si>
  <si>
    <t xml:space="preserve">EU Annex VI / FDA Monograph</t>
  </si>
  <si>
    <t xml:space="preserve">White cast (non-nano); nano form inhalation concern in sprays</t>
  </si>
  <si>
    <t xml:space="preserve">Physical blocker, minimal reactivity</t>
  </si>
  <si>
    <t xml:space="preserve">Titanium Dioxide</t>
  </si>
  <si>
    <t xml:space="preserve">White cast; nano inhalation concern in sprays/powders</t>
  </si>
  <si>
    <t xml:space="preserve">Minimal reactivity</t>
  </si>
  <si>
    <t xml:space="preserve">Avobenzone</t>
  </si>
  <si>
    <t xml:space="preserve">Max 5% - Annex VI</t>
  </si>
  <si>
    <t xml:space="preserve">Max 3% - Sunscreen Monograph</t>
  </si>
  <si>
    <t xml:space="preserve">Photo-unstable alone; needs stabilizers</t>
  </si>
  <si>
    <t xml:space="preserve">Degrades in UV without stabilizer</t>
  </si>
  <si>
    <t xml:space="preserve">Needs Octocrylene or Bemotrizinol to stay stable</t>
  </si>
  <si>
    <t xml:space="preserve">Unstabilized with Octinoxate (accelerated degradation)</t>
  </si>
  <si>
    <t xml:space="preserve">Octocrylene</t>
  </si>
  <si>
    <t xml:space="preserve">Max 10% - Annex VI</t>
  </si>
  <si>
    <t xml:space="preserve">Max 10% - Sunscreen Monograph</t>
  </si>
  <si>
    <t xml:space="preserve">Possible allergen; environmental/coral reef concern</t>
  </si>
  <si>
    <t xml:space="preserve">Stabilizes Avobenzone</t>
  </si>
  <si>
    <t xml:space="preserve">Octinoxate (Ethylhexyl Methoxycinnamate)</t>
  </si>
  <si>
    <t xml:space="preserve">Up to 10% (EU) / 7.5% (US)</t>
  </si>
  <si>
    <t xml:space="preserve">Max 7.5% - Sunscreen Monograph</t>
  </si>
  <si>
    <t xml:space="preserve">Endocrine disruption concerns debated; banned in some regions (reef laws)</t>
  </si>
  <si>
    <t xml:space="preserve">Photo-degrades</t>
  </si>
  <si>
    <t xml:space="preserve">Destabilizes Avobenzone without stabilizer</t>
  </si>
  <si>
    <t xml:space="preserve">Unstabilized Avobenzone</t>
  </si>
  <si>
    <t xml:space="preserve">Homosalate</t>
  </si>
  <si>
    <t xml:space="preserve">Up to 10% (EU, under review) / 15% (US)</t>
  </si>
  <si>
    <t xml:space="preserve">Max 10% - under EU review since 2021 - Annex VI</t>
  </si>
  <si>
    <t xml:space="preserve">Max 15% - Sunscreen Monograph</t>
  </si>
  <si>
    <t xml:space="preserve">Possible endocrine disruption concern (under EU review)</t>
  </si>
  <si>
    <t xml:space="preserve">Octisalate (Ethylhexyl Salicylate)</t>
  </si>
  <si>
    <t xml:space="preserve">Max 5% - Sunscreen Monograph</t>
  </si>
  <si>
    <t xml:space="preserve">Mild booster/solubilizer for other filters</t>
  </si>
  <si>
    <t xml:space="preserve">Bemotrizinol (Tinosorb S)</t>
  </si>
  <si>
    <t xml:space="preserve">Not FDA-approved (pending review)</t>
  </si>
  <si>
    <t xml:space="preserve">EU Annex VI</t>
  </si>
  <si>
    <t xml:space="preserve">None significant; very photostable</t>
  </si>
  <si>
    <t xml:space="preserve">Bisoctrizole (Tinosorb M)</t>
  </si>
  <si>
    <t xml:space="preserve">Ecamsule (Mexoryl SX)</t>
  </si>
  <si>
    <t xml:space="preserve">Approved only in specific NDA formulations</t>
  </si>
  <si>
    <t xml:space="preserve">EU Annex VI / FDA NDA</t>
  </si>
  <si>
    <t xml:space="preserve">Limited US availability due to regulatory pathway</t>
  </si>
  <si>
    <t xml:space="preserve">Photostable</t>
  </si>
  <si>
    <t xml:space="preserve">Essential Oils &amp; Fragrance</t>
  </si>
  <si>
    <t xml:space="preserve">Tea Tree Oil (Melaleuca Alternifolia)</t>
  </si>
  <si>
    <t xml:space="preserve">EU Annex III (allergen list)</t>
  </si>
  <si>
    <t xml:space="preserve">Oxidizes into more allergenic compounds with air/light exposure</t>
  </si>
  <si>
    <t xml:space="preserve">Oxidizes with heat/light</t>
  </si>
  <si>
    <t xml:space="preserve">Increases allergenicity when oxidized</t>
  </si>
  <si>
    <t xml:space="preserve">Lavender Oil (Lavandula Angustifolia)</t>
  </si>
  <si>
    <t xml:space="preserve">Allergen labeling (linalool, limonene) - Annex III</t>
  </si>
  <si>
    <t xml:space="preserve">Possible allergen; debated hormonal effects in some studies</t>
  </si>
  <si>
    <t xml:space="preserve">Oxidizes with light/air</t>
  </si>
  <si>
    <t xml:space="preserve">Peppermint Oil (Mentha Piperita)</t>
  </si>
  <si>
    <t xml:space="preserve">Allergen labeling (limonene) - Annex III</t>
  </si>
  <si>
    <t xml:space="preserve">Irritation, cooling/burning sensation, mucous membrane irritant</t>
  </si>
  <si>
    <t xml:space="preserve">Volatile; degrades with heat</t>
  </si>
  <si>
    <t xml:space="preserve">Vasodilator effect on skin</t>
  </si>
  <si>
    <t xml:space="preserve">Bergamot Oil (Citrus Bergamia)</t>
  </si>
  <si>
    <t xml:space="preserve">Limits on Bergapten; must be furocoumarin-free (FCF) grade - Annex III</t>
  </si>
  <si>
    <t xml:space="preserve">Significant phototoxicity/photosensitization unless FCF grade</t>
  </si>
  <si>
    <t xml:space="preserve">Photodegrades</t>
  </si>
  <si>
    <t xml:space="preserve">Dramatically increases UV sensitivity</t>
  </si>
  <si>
    <t xml:space="preserve">Eucalyptus Oil</t>
  </si>
  <si>
    <t xml:space="preserve">Allergen labeling (limonene, citronellol) - Annex III</t>
  </si>
  <si>
    <t xml:space="preserve">Irritation; toxic if ingested (children); respiratory irritant</t>
  </si>
  <si>
    <t xml:space="preserve">Volatile</t>
  </si>
  <si>
    <t xml:space="preserve">Rose Oil (Rosa Damascena)</t>
  </si>
  <si>
    <t xml:space="preserve">Allergen labeling (geraniol, citronellol, eugenol) - Annex III</t>
  </si>
  <si>
    <t xml:space="preserve">Multiple declared allergens; possible sensitization</t>
  </si>
  <si>
    <t xml:space="preserve">Light/heat sensitive</t>
  </si>
  <si>
    <t xml:space="preserve">Ylang Ylang Oil</t>
  </si>
  <si>
    <t xml:space="preserve">Allergen labeling (benzyl benzoate, eugenol, farnesol) - Annex III</t>
  </si>
  <si>
    <t xml:space="preserve">Multiple allergens; headache/dizziness at high exposure</t>
  </si>
  <si>
    <t xml:space="preserve">Oxidizes</t>
  </si>
  <si>
    <t xml:space="preserve">Cinnamon Bark/Leaf Oil</t>
  </si>
  <si>
    <t xml:space="preserve">Strict Annex III limits; strong sensitizer</t>
  </si>
  <si>
    <t xml:space="preserve">No specific restriction; flagged by CIR</t>
  </si>
  <si>
    <t xml:space="preserve">One of the strongest known fragrance sensitizers/irritants</t>
  </si>
  <si>
    <t xml:space="preserve">Clove Oil (Eugenia Caryophyllus)</t>
  </si>
  <si>
    <t xml:space="preserve">0.1% - 0.5%</t>
  </si>
  <si>
    <t xml:space="preserve">Allergen labeling (eugenol) - Annex III</t>
  </si>
  <si>
    <t xml:space="preserve">Strong sensitizer; mucous membrane irritant</t>
  </si>
  <si>
    <t xml:space="preserve">Linalool (isolated fragrance compound)</t>
  </si>
  <si>
    <t xml:space="preserve">Trace - 1%</t>
  </si>
  <si>
    <t xml:space="preserve">Mandatory labeling if &gt;0.001% leave-on / 0.01% rinse-off - Annex III</t>
  </si>
  <si>
    <t xml:space="preserve">Oxidizes into more allergenic hydroperoxides on air exposure</t>
  </si>
  <si>
    <t xml:space="preserve">Oxidizes readily</t>
  </si>
  <si>
    <t xml:space="preserve">Traffic-light legend for 'Your Formulation %' column: GREEN = within the safe usage range (Min-Max) - YELLOW = above the max but within +15% (caution / near limit) - RED = more than 15% above the max, or below the minimum effective %.</t>
  </si>
  <si>
    <t xml:space="preserve">Sources &amp; disclaimer: Values compiled as general formulation-science reference points (EU Regulation EC 1223/2009 Annexes/CosIng, US FDA OTC Monographs, CIR opinions). This is an educational reference, not legal or regulatory advice. Always verify current limits against the official EU CosIng database and FDA resources before formulation, labeling, or claims decisions.</t>
  </si>
  <si>
    <t xml:space="preserve">Ingredient Count by Category</t>
  </si>
  <si>
    <t xml:space="preserve">Number of Ingredients</t>
  </si>
  <si>
    <t xml:space="preserve">TOTAL</t>
  </si>
  <si>
    <t xml:space="preserve">Ingredient Lookup Tool</t>
  </si>
  <si>
    <t xml:space="preserve">Type or select an ingredient name (INCI):</t>
  </si>
  <si>
    <t xml:space="preserve">Category (INDEX/MATCH)</t>
  </si>
  <si>
    <t xml:space="preserve">Safe Usage % (VLOOKUP)</t>
  </si>
  <si>
    <t xml:space="preserve">Min Safe % (VLOOKUP)</t>
  </si>
  <si>
    <t xml:space="preserve">Max Safe % (VLOOKUP)</t>
  </si>
  <si>
    <t xml:space="preserve">EU Regulatory Restriction (VLOOKUP)</t>
  </si>
  <si>
    <t xml:space="preserve">USA Regulatory Restriction (VLOOKUP)</t>
  </si>
  <si>
    <t xml:space="preserve">Source (VLOOKUP)</t>
  </si>
  <si>
    <t xml:space="preserve">Common Issues (VLOOKUP)</t>
  </si>
  <si>
    <t xml:space="preserve">pH Range (VLOOKUP)</t>
  </si>
  <si>
    <t xml:space="preserve">Temperature Stability (VLOOKUP)</t>
  </si>
  <si>
    <t xml:space="preserve">Interactions / Reactivity (VLOOKUP)</t>
  </si>
  <si>
    <t xml:space="preserve">Incompatible With (VLOOKUP)</t>
  </si>
  <si>
    <t xml:space="preserve">Sensitization Risk (VLOOKUP)</t>
  </si>
  <si>
    <t xml:space="preserve">Note: XLOOKUP is not used because it is not reliably supported for automatic recalculation in all spreadsheet engines (older Excel versions, LibreOffice). VLOOKUP and INDEX/MATCH return the same result and work in every version of Excel. The 'Category' field uses INDEX/MATCH because it sits to the LEFT of the search key (VLOOKUP can only look to columns on the right of the key column). If your recipient uses Excel 365, you can replace any VLOOKUP formula with, e.g.:
=XLOOKUP($B$3,Ingredients!$B$3:$B$102,Ingredients!$C$3:$C$102,"Not found")</t>
  </si>
</sst>
</file>

<file path=xl/styles.xml><?xml version="1.0" encoding="utf-8"?>
<styleSheet xmlns="http://schemas.openxmlformats.org/spreadsheetml/2006/main">
  <numFmts count="3">
    <numFmt numFmtId="164" formatCode="General"/>
    <numFmt numFmtId="165" formatCode="0.0##"/>
    <numFmt numFmtId="166" formatCode="General"/>
  </numFmts>
  <fonts count="17">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sz val="9"/>
      <name val="Arial"/>
      <family val="0"/>
      <charset val="1"/>
    </font>
    <font>
      <b val="true"/>
      <i val="true"/>
      <sz val="9"/>
      <color rgb="FF595959"/>
      <name val="Arial"/>
      <family val="0"/>
      <charset val="1"/>
    </font>
    <font>
      <i val="true"/>
      <sz val="8"/>
      <color rgb="FF808080"/>
      <name val="Arial"/>
      <family val="0"/>
      <charset val="1"/>
    </font>
    <font>
      <b val="true"/>
      <sz val="13"/>
      <color rgb="FFFFFFFF"/>
      <name val="Arial"/>
      <family val="0"/>
      <charset val="1"/>
    </font>
    <font>
      <b val="true"/>
      <sz val="11"/>
      <color rgb="FFFFFFFF"/>
      <name val="Arial"/>
      <family val="0"/>
      <charset val="1"/>
    </font>
    <font>
      <sz val="10"/>
      <name val="Arial"/>
      <family val="0"/>
      <charset val="1"/>
    </font>
    <font>
      <b val="true"/>
      <sz val="11"/>
      <name val="Cambria"/>
      <family val="0"/>
      <charset val="1"/>
    </font>
    <font>
      <b val="true"/>
      <sz val="11"/>
      <name val="Arial"/>
      <family val="0"/>
      <charset val="1"/>
    </font>
    <font>
      <b val="true"/>
      <sz val="11"/>
      <color rgb="FF0000FF"/>
      <name val="Arial"/>
      <family val="0"/>
      <charset val="1"/>
    </font>
    <font>
      <b val="true"/>
      <sz val="10"/>
      <name val="Arial"/>
      <family val="0"/>
      <charset val="1"/>
    </font>
    <font>
      <i val="true"/>
      <sz val="9"/>
      <color rgb="FF808080"/>
      <name val="Arial"/>
      <family val="0"/>
      <charset val="1"/>
    </font>
  </fonts>
  <fills count="17">
    <fill>
      <patternFill patternType="none"/>
    </fill>
    <fill>
      <patternFill patternType="gray125"/>
    </fill>
    <fill>
      <patternFill patternType="solid">
        <fgColor rgb="FF2F5496"/>
        <bgColor rgb="FF4472C4"/>
      </patternFill>
    </fill>
    <fill>
      <patternFill patternType="solid">
        <fgColor rgb="FF4472C4"/>
        <bgColor rgb="FF2F5496"/>
      </patternFill>
    </fill>
    <fill>
      <patternFill patternType="solid">
        <fgColor rgb="FFDDEBF7"/>
        <bgColor rgb="FFCFE2F3"/>
      </patternFill>
    </fill>
    <fill>
      <patternFill patternType="solid">
        <fgColor rgb="FFF7F7F7"/>
        <bgColor rgb="FFFFFFFF"/>
      </patternFill>
    </fill>
    <fill>
      <patternFill patternType="solid">
        <fgColor rgb="FFFFFFFF"/>
        <bgColor rgb="FFF7F7F7"/>
      </patternFill>
    </fill>
    <fill>
      <patternFill patternType="solid">
        <fgColor rgb="FFFCE4D6"/>
        <bgColor rgb="FFFFF2CC"/>
      </patternFill>
    </fill>
    <fill>
      <patternFill patternType="solid">
        <fgColor rgb="FFE2EFDA"/>
        <bgColor rgb="FFDDEBF7"/>
      </patternFill>
    </fill>
    <fill>
      <patternFill patternType="solid">
        <fgColor rgb="FFFFF2CC"/>
        <bgColor rgb="FFFCE4D6"/>
      </patternFill>
    </fill>
    <fill>
      <patternFill patternType="solid">
        <fgColor rgb="FFF8CBAD"/>
        <bgColor rgb="FFFFC7CE"/>
      </patternFill>
    </fill>
    <fill>
      <patternFill patternType="solid">
        <fgColor rgb="FFD9D2E9"/>
        <bgColor rgb="FFEAD1DC"/>
      </patternFill>
    </fill>
    <fill>
      <patternFill patternType="solid">
        <fgColor rgb="FFD0E0E3"/>
        <bgColor rgb="FFCFE2F3"/>
      </patternFill>
    </fill>
    <fill>
      <patternFill patternType="solid">
        <fgColor rgb="FFEAD1DC"/>
        <bgColor rgb="FFD9D2E9"/>
      </patternFill>
    </fill>
    <fill>
      <patternFill patternType="solid">
        <fgColor rgb="FFCFE2F3"/>
        <bgColor rgb="FFD0E0E3"/>
      </patternFill>
    </fill>
    <fill>
      <patternFill patternType="solid">
        <fgColor rgb="FFFFE599"/>
        <bgColor rgb="FFFFEB9C"/>
      </patternFill>
    </fill>
    <fill>
      <patternFill patternType="solid">
        <fgColor rgb="FFFFFF00"/>
        <bgColor rgb="FFFFEB9C"/>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xf numFmtId="165" fontId="6" fillId="5" borderId="1" xfId="0" applyFont="true" applyBorder="true" applyAlignment="true" applyProtection="false">
      <alignment horizontal="left" vertical="center" textRotation="0" wrapText="true" indent="0" shrinkToFit="false"/>
      <protection locked="true" hidden="false"/>
    </xf>
    <xf numFmtId="165" fontId="6" fillId="6" borderId="1" xfId="0" applyFont="true" applyBorder="true" applyAlignment="true" applyProtection="false">
      <alignment horizontal="left" vertical="center" textRotation="0" wrapText="tru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4" fontId="6" fillId="7" borderId="1" xfId="0" applyFont="true" applyBorder="true" applyAlignment="true" applyProtection="false">
      <alignment horizontal="left" vertical="center" textRotation="0" wrapText="true" indent="0" shrinkToFit="false"/>
      <protection locked="true" hidden="false"/>
    </xf>
    <xf numFmtId="164" fontId="6" fillId="8" borderId="1" xfId="0" applyFont="true" applyBorder="true" applyAlignment="true" applyProtection="false">
      <alignment horizontal="left" vertical="center" textRotation="0" wrapText="true" indent="0" shrinkToFit="false"/>
      <protection locked="true" hidden="false"/>
    </xf>
    <xf numFmtId="164" fontId="6" fillId="9" borderId="1" xfId="0" applyFont="true" applyBorder="true" applyAlignment="true" applyProtection="false">
      <alignment horizontal="left" vertical="center" textRotation="0" wrapText="true" indent="0" shrinkToFit="false"/>
      <protection locked="true" hidden="false"/>
    </xf>
    <xf numFmtId="164" fontId="6" fillId="10" borderId="1" xfId="0" applyFont="true" applyBorder="true" applyAlignment="true" applyProtection="false">
      <alignment horizontal="left" vertical="center" textRotation="0" wrapText="true" indent="0" shrinkToFit="false"/>
      <protection locked="true" hidden="false"/>
    </xf>
    <xf numFmtId="164" fontId="6" fillId="11" borderId="1" xfId="0" applyFont="true" applyBorder="true" applyAlignment="true" applyProtection="false">
      <alignment horizontal="left" vertical="center" textRotation="0" wrapText="true" indent="0" shrinkToFit="false"/>
      <protection locked="true" hidden="false"/>
    </xf>
    <xf numFmtId="164" fontId="6" fillId="12" borderId="1" xfId="0" applyFont="true" applyBorder="true" applyAlignment="true" applyProtection="false">
      <alignment horizontal="left" vertical="center" textRotation="0" wrapText="true" indent="0" shrinkToFit="false"/>
      <protection locked="true" hidden="false"/>
    </xf>
    <xf numFmtId="164" fontId="6" fillId="13" borderId="1" xfId="0" applyFont="true" applyBorder="true" applyAlignment="true" applyProtection="false">
      <alignment horizontal="left" vertical="center" textRotation="0" wrapText="true" indent="0" shrinkToFit="false"/>
      <protection locked="true" hidden="false"/>
    </xf>
    <xf numFmtId="164" fontId="6" fillId="14" borderId="1" xfId="0" applyFont="true" applyBorder="true" applyAlignment="true" applyProtection="false">
      <alignment horizontal="left" vertical="center" textRotation="0" wrapText="true" indent="0" shrinkToFit="false"/>
      <protection locked="true" hidden="false"/>
    </xf>
    <xf numFmtId="164" fontId="6" fillId="15" borderId="1" xfId="0" applyFont="true" applyBorder="true" applyAlignment="true" applyProtection="false">
      <alignment horizontal="left" vertical="center"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2" borderId="0" xfId="0" applyFont="true" applyBorder="true" applyAlignment="true" applyProtection="false">
      <alignment horizontal="center" vertical="center"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11" fillId="7" borderId="0" xfId="0" applyFont="true" applyBorder="false" applyAlignment="false" applyProtection="false">
      <alignment horizontal="general" vertical="bottom" textRotation="0" wrapText="false" indent="0" shrinkToFit="false"/>
      <protection locked="true" hidden="false"/>
    </xf>
    <xf numFmtId="164" fontId="11" fillId="8" borderId="0" xfId="0" applyFont="true" applyBorder="false" applyAlignment="false" applyProtection="false">
      <alignment horizontal="general" vertical="bottom" textRotation="0" wrapText="false" indent="0" shrinkToFit="false"/>
      <protection locked="true" hidden="false"/>
    </xf>
    <xf numFmtId="164" fontId="11" fillId="9" borderId="0" xfId="0" applyFont="true" applyBorder="false" applyAlignment="false" applyProtection="false">
      <alignment horizontal="general" vertical="bottom" textRotation="0" wrapText="false" indent="0" shrinkToFit="false"/>
      <protection locked="true" hidden="false"/>
    </xf>
    <xf numFmtId="164" fontId="11" fillId="10" borderId="0" xfId="0" applyFont="true" applyBorder="false" applyAlignment="false" applyProtection="false">
      <alignment horizontal="general" vertical="bottom" textRotation="0" wrapText="false" indent="0" shrinkToFit="false"/>
      <protection locked="true" hidden="false"/>
    </xf>
    <xf numFmtId="164" fontId="11" fillId="11" borderId="0" xfId="0" applyFont="true" applyBorder="false" applyAlignment="false" applyProtection="false">
      <alignment horizontal="general" vertical="bottom" textRotation="0" wrapText="false" indent="0" shrinkToFit="false"/>
      <protection locked="true" hidden="false"/>
    </xf>
    <xf numFmtId="164" fontId="11" fillId="12" borderId="0" xfId="0" applyFont="true" applyBorder="false" applyAlignment="false" applyProtection="false">
      <alignment horizontal="general" vertical="bottom" textRotation="0" wrapText="false" indent="0" shrinkToFit="false"/>
      <protection locked="true" hidden="false"/>
    </xf>
    <xf numFmtId="164" fontId="11" fillId="13" borderId="0" xfId="0" applyFont="true" applyBorder="false" applyAlignment="false" applyProtection="false">
      <alignment horizontal="general" vertical="bottom" textRotation="0" wrapText="false" indent="0" shrinkToFit="false"/>
      <protection locked="true" hidden="false"/>
    </xf>
    <xf numFmtId="164" fontId="11" fillId="14" borderId="0" xfId="0" applyFont="true" applyBorder="false" applyAlignment="false" applyProtection="false">
      <alignment horizontal="general" vertical="bottom" textRotation="0" wrapText="false" indent="0" shrinkToFit="false"/>
      <protection locked="true" hidden="false"/>
    </xf>
    <xf numFmtId="164" fontId="11" fillId="15"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16"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color rgb="FF006100"/>
      </font>
      <fill>
        <patternFill>
          <bgColor rgb="FFC6EFCE"/>
        </patternFill>
      </fill>
    </dxf>
    <dxf>
      <font>
        <color rgb="FF9C6500"/>
      </font>
      <fill>
        <patternFill>
          <bgColor rgb="FFFFEB9C"/>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7B7B7"/>
      <rgbColor rgb="FF808080"/>
      <rgbColor rgb="FFD0E0E3"/>
      <rgbColor rgb="FF993366"/>
      <rgbColor rgb="FFFFF2CC"/>
      <rgbColor rgb="FFDDEBF7"/>
      <rgbColor rgb="FF660066"/>
      <rgbColor rgb="FFFF8080"/>
      <rgbColor rgb="FF0066CC"/>
      <rgbColor rgb="FFD9D2E9"/>
      <rgbColor rgb="FF000080"/>
      <rgbColor rgb="FFFF00FF"/>
      <rgbColor rgb="FFFCE4D6"/>
      <rgbColor rgb="FF00FFFF"/>
      <rgbColor rgb="FF800080"/>
      <rgbColor rgb="FF800000"/>
      <rgbColor rgb="FF008080"/>
      <rgbColor rgb="FF0000FF"/>
      <rgbColor rgb="FF00CCFF"/>
      <rgbColor rgb="FFE2EFDA"/>
      <rgbColor rgb="FFC6EFCE"/>
      <rgbColor rgb="FFFFEB9C"/>
      <rgbColor rgb="FFCFE2F3"/>
      <rgbColor rgb="FFFFC7CE"/>
      <rgbColor rgb="FFEAD1DC"/>
      <rgbColor rgb="FFF8CBAD"/>
      <rgbColor rgb="FF4472C4"/>
      <rgbColor rgb="FF33CCCC"/>
      <rgbColor rgb="FF99CC00"/>
      <rgbColor rgb="FFFFE599"/>
      <rgbColor rgb="FFFF9900"/>
      <rgbColor rgb="FFFF6600"/>
      <rgbColor rgb="FF595959"/>
      <rgbColor rgb="FFF7F7F7"/>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16"/>
    <col collapsed="false" customWidth="true" hidden="false" outlineLevel="0" max="5" min="4" style="0" width="9"/>
    <col collapsed="false" customWidth="true" hidden="false" outlineLevel="0" max="6" min="6" style="0" width="40"/>
    <col collapsed="false" customWidth="true" hidden="false" outlineLevel="0" max="7" min="7" style="0" width="34"/>
    <col collapsed="false" customWidth="true" hidden="false" outlineLevel="0" max="8" min="8" style="0" width="20"/>
    <col collapsed="false" customWidth="true" hidden="false" outlineLevel="0" max="9" min="9" style="0" width="34"/>
    <col collapsed="false" customWidth="true" hidden="false" outlineLevel="0" max="10" min="10" style="0" width="12"/>
    <col collapsed="false" customWidth="true" hidden="false" outlineLevel="0" max="11" min="11" style="0" width="22"/>
    <col collapsed="false" customWidth="true" hidden="false" outlineLevel="0" max="12" min="12" style="0" width="30"/>
    <col collapsed="false" customWidth="true" hidden="false" outlineLevel="0" max="13" min="13" style="0" width="24"/>
    <col collapsed="false" customWidth="true" hidden="false" outlineLevel="0" max="14" min="14" style="0" width="12"/>
    <col collapsed="false" customWidth="true" hidden="false" outlineLevel="0" max="15" min="15" style="0" width="14"/>
  </cols>
  <sheetData>
    <row r="1" customFormat="false" ht="25.5" hidden="false" customHeight="true" outlineLevel="0" collapsed="false">
      <c r="A1" s="1" t="s">
        <v>0</v>
      </c>
      <c r="B1" s="1"/>
      <c r="C1" s="1"/>
      <c r="D1" s="1"/>
      <c r="E1" s="1"/>
      <c r="F1" s="1"/>
      <c r="G1" s="1"/>
      <c r="H1" s="1"/>
      <c r="I1" s="1"/>
      <c r="J1" s="1"/>
      <c r="K1" s="1"/>
      <c r="L1" s="1"/>
      <c r="M1" s="1"/>
      <c r="N1" s="1"/>
      <c r="O1" s="1"/>
    </row>
    <row r="2" customFormat="false" ht="39.75" hidden="false" customHeight="true" outlineLevel="0" collapsed="false">
      <c r="A2" s="2" t="s">
        <v>1</v>
      </c>
      <c r="B2" s="2" t="s">
        <v>2</v>
      </c>
      <c r="C2" s="2" t="s">
        <v>3</v>
      </c>
      <c r="D2" s="2" t="s">
        <v>4</v>
      </c>
      <c r="E2" s="2" t="s">
        <v>5</v>
      </c>
      <c r="F2" s="2" t="s">
        <v>6</v>
      </c>
      <c r="G2" s="2" t="s">
        <v>7</v>
      </c>
      <c r="H2" s="2" t="s">
        <v>8</v>
      </c>
      <c r="I2" s="2" t="s">
        <v>9</v>
      </c>
      <c r="J2" s="2" t="s">
        <v>10</v>
      </c>
      <c r="K2" s="2" t="s">
        <v>11</v>
      </c>
      <c r="L2" s="2" t="s">
        <v>12</v>
      </c>
      <c r="M2" s="2" t="s">
        <v>13</v>
      </c>
      <c r="N2" s="2" t="s">
        <v>14</v>
      </c>
      <c r="O2" s="2" t="s">
        <v>15</v>
      </c>
    </row>
    <row r="3" customFormat="false" ht="22.35" hidden="false" customHeight="false" outlineLevel="0" collapsed="false">
      <c r="A3" s="3" t="s">
        <v>16</v>
      </c>
      <c r="B3" s="4" t="s">
        <v>17</v>
      </c>
      <c r="C3" s="4" t="s">
        <v>18</v>
      </c>
      <c r="D3" s="5" t="n">
        <v>3</v>
      </c>
      <c r="E3" s="5" t="n">
        <v>10</v>
      </c>
      <c r="F3" s="4" t="s">
        <v>19</v>
      </c>
      <c r="G3" s="4" t="s">
        <v>20</v>
      </c>
      <c r="H3" s="4" t="s">
        <v>21</v>
      </c>
      <c r="I3" s="4" t="s">
        <v>22</v>
      </c>
      <c r="J3" s="4" t="s">
        <v>23</v>
      </c>
      <c r="K3" s="4" t="s">
        <v>24</v>
      </c>
      <c r="L3" s="4" t="s">
        <v>25</v>
      </c>
      <c r="M3" s="4" t="s">
        <v>26</v>
      </c>
      <c r="N3" s="4" t="s">
        <v>27</v>
      </c>
      <c r="O3" s="6"/>
    </row>
    <row r="4" customFormat="false" ht="22.35" hidden="false" customHeight="false" outlineLevel="0" collapsed="false">
      <c r="A4" s="3" t="s">
        <v>16</v>
      </c>
      <c r="B4" s="7" t="s">
        <v>28</v>
      </c>
      <c r="C4" s="7" t="s">
        <v>29</v>
      </c>
      <c r="D4" s="6" t="n">
        <v>2</v>
      </c>
      <c r="E4" s="6" t="n">
        <v>10</v>
      </c>
      <c r="F4" s="7" t="s">
        <v>19</v>
      </c>
      <c r="G4" s="7" t="s">
        <v>19</v>
      </c>
      <c r="H4" s="7" t="s">
        <v>30</v>
      </c>
      <c r="I4" s="7" t="s">
        <v>31</v>
      </c>
      <c r="J4" s="7" t="s">
        <v>32</v>
      </c>
      <c r="K4" s="7" t="s">
        <v>33</v>
      </c>
      <c r="L4" s="7" t="s">
        <v>34</v>
      </c>
      <c r="M4" s="7" t="s">
        <v>35</v>
      </c>
      <c r="N4" s="7" t="s">
        <v>36</v>
      </c>
      <c r="O4" s="6"/>
    </row>
    <row r="5" customFormat="false" ht="15" hidden="false" customHeight="false" outlineLevel="0" collapsed="false">
      <c r="A5" s="3" t="s">
        <v>16</v>
      </c>
      <c r="B5" s="4" t="s">
        <v>37</v>
      </c>
      <c r="C5" s="4" t="s">
        <v>29</v>
      </c>
      <c r="D5" s="5" t="n">
        <v>2</v>
      </c>
      <c r="E5" s="5" t="n">
        <v>10</v>
      </c>
      <c r="F5" s="4" t="s">
        <v>19</v>
      </c>
      <c r="G5" s="4" t="s">
        <v>19</v>
      </c>
      <c r="H5" s="4" t="s">
        <v>21</v>
      </c>
      <c r="I5" s="4" t="s">
        <v>38</v>
      </c>
      <c r="J5" s="4" t="s">
        <v>32</v>
      </c>
      <c r="K5" s="4" t="s">
        <v>33</v>
      </c>
      <c r="L5" s="4" t="s">
        <v>39</v>
      </c>
      <c r="M5" s="4" t="s">
        <v>40</v>
      </c>
      <c r="N5" s="4" t="s">
        <v>27</v>
      </c>
      <c r="O5" s="6"/>
    </row>
    <row r="6" customFormat="false" ht="22.35" hidden="false" customHeight="false" outlineLevel="0" collapsed="false">
      <c r="A6" s="3" t="s">
        <v>16</v>
      </c>
      <c r="B6" s="7" t="s">
        <v>41</v>
      </c>
      <c r="C6" s="7" t="s">
        <v>42</v>
      </c>
      <c r="D6" s="6" t="n">
        <v>0.1</v>
      </c>
      <c r="E6" s="6" t="n">
        <v>2</v>
      </c>
      <c r="F6" s="7" t="s">
        <v>19</v>
      </c>
      <c r="G6" s="7" t="s">
        <v>19</v>
      </c>
      <c r="H6" s="7" t="s">
        <v>21</v>
      </c>
      <c r="I6" s="7" t="s">
        <v>43</v>
      </c>
      <c r="J6" s="7" t="s">
        <v>44</v>
      </c>
      <c r="K6" s="7" t="s">
        <v>45</v>
      </c>
      <c r="L6" s="7" t="s">
        <v>46</v>
      </c>
      <c r="M6" s="7" t="s">
        <v>40</v>
      </c>
      <c r="N6" s="7" t="s">
        <v>27</v>
      </c>
      <c r="O6" s="6"/>
    </row>
    <row r="7" customFormat="false" ht="15" hidden="false" customHeight="false" outlineLevel="0" collapsed="false">
      <c r="A7" s="3" t="s">
        <v>16</v>
      </c>
      <c r="B7" s="4" t="s">
        <v>47</v>
      </c>
      <c r="C7" s="4" t="s">
        <v>48</v>
      </c>
      <c r="D7" s="5" t="n">
        <v>1</v>
      </c>
      <c r="E7" s="5" t="n">
        <v>5</v>
      </c>
      <c r="F7" s="4" t="s">
        <v>19</v>
      </c>
      <c r="G7" s="4" t="s">
        <v>19</v>
      </c>
      <c r="H7" s="4" t="s">
        <v>21</v>
      </c>
      <c r="I7" s="4" t="s">
        <v>49</v>
      </c>
      <c r="J7" s="4" t="s">
        <v>44</v>
      </c>
      <c r="K7" s="4" t="s">
        <v>33</v>
      </c>
      <c r="L7" s="4" t="s">
        <v>35</v>
      </c>
      <c r="M7" s="4" t="s">
        <v>40</v>
      </c>
      <c r="N7" s="4" t="s">
        <v>27</v>
      </c>
      <c r="O7" s="6"/>
    </row>
    <row r="8" customFormat="false" ht="22.35" hidden="false" customHeight="false" outlineLevel="0" collapsed="false">
      <c r="A8" s="3" t="s">
        <v>16</v>
      </c>
      <c r="B8" s="7" t="s">
        <v>50</v>
      </c>
      <c r="C8" s="7" t="s">
        <v>29</v>
      </c>
      <c r="D8" s="6" t="n">
        <v>2</v>
      </c>
      <c r="E8" s="6" t="n">
        <v>10</v>
      </c>
      <c r="F8" s="7" t="s">
        <v>51</v>
      </c>
      <c r="G8" s="7" t="s">
        <v>52</v>
      </c>
      <c r="H8" s="7" t="s">
        <v>53</v>
      </c>
      <c r="I8" s="7" t="s">
        <v>54</v>
      </c>
      <c r="J8" s="7" t="s">
        <v>32</v>
      </c>
      <c r="K8" s="7" t="s">
        <v>33</v>
      </c>
      <c r="L8" s="7" t="s">
        <v>55</v>
      </c>
      <c r="M8" s="7" t="s">
        <v>56</v>
      </c>
      <c r="N8" s="7" t="s">
        <v>57</v>
      </c>
      <c r="O8" s="6"/>
    </row>
    <row r="9" customFormat="false" ht="15" hidden="false" customHeight="false" outlineLevel="0" collapsed="false">
      <c r="A9" s="3" t="s">
        <v>16</v>
      </c>
      <c r="B9" s="4" t="s">
        <v>58</v>
      </c>
      <c r="C9" s="4" t="s">
        <v>48</v>
      </c>
      <c r="D9" s="5" t="n">
        <v>1</v>
      </c>
      <c r="E9" s="5" t="n">
        <v>5</v>
      </c>
      <c r="F9" s="4" t="s">
        <v>19</v>
      </c>
      <c r="G9" s="4" t="s">
        <v>19</v>
      </c>
      <c r="H9" s="4" t="s">
        <v>21</v>
      </c>
      <c r="I9" s="4" t="s">
        <v>59</v>
      </c>
      <c r="J9" s="4" t="s">
        <v>32</v>
      </c>
      <c r="K9" s="4" t="s">
        <v>33</v>
      </c>
      <c r="L9" s="4" t="s">
        <v>60</v>
      </c>
      <c r="M9" s="4" t="s">
        <v>40</v>
      </c>
      <c r="N9" s="4" t="s">
        <v>27</v>
      </c>
      <c r="O9" s="6"/>
    </row>
    <row r="10" customFormat="false" ht="22.35" hidden="false" customHeight="false" outlineLevel="0" collapsed="false">
      <c r="A10" s="3" t="s">
        <v>16</v>
      </c>
      <c r="B10" s="7" t="s">
        <v>61</v>
      </c>
      <c r="C10" s="7" t="s">
        <v>62</v>
      </c>
      <c r="D10" s="6" t="n">
        <v>0.5</v>
      </c>
      <c r="E10" s="6" t="n">
        <v>5</v>
      </c>
      <c r="F10" s="7" t="s">
        <v>19</v>
      </c>
      <c r="G10" s="7" t="s">
        <v>19</v>
      </c>
      <c r="H10" s="7" t="s">
        <v>21</v>
      </c>
      <c r="I10" s="7" t="s">
        <v>63</v>
      </c>
      <c r="J10" s="7" t="s">
        <v>44</v>
      </c>
      <c r="K10" s="7" t="s">
        <v>64</v>
      </c>
      <c r="L10" s="7" t="s">
        <v>65</v>
      </c>
      <c r="M10" s="7" t="s">
        <v>56</v>
      </c>
      <c r="N10" s="7" t="s">
        <v>27</v>
      </c>
      <c r="O10" s="6"/>
    </row>
    <row r="11" customFormat="false" ht="22.35" hidden="false" customHeight="false" outlineLevel="0" collapsed="false">
      <c r="A11" s="3" t="s">
        <v>16</v>
      </c>
      <c r="B11" s="4" t="s">
        <v>66</v>
      </c>
      <c r="C11" s="4" t="s">
        <v>67</v>
      </c>
      <c r="D11" s="5" t="n">
        <v>1</v>
      </c>
      <c r="E11" s="5" t="n">
        <v>10</v>
      </c>
      <c r="F11" s="4" t="s">
        <v>19</v>
      </c>
      <c r="G11" s="4" t="s">
        <v>19</v>
      </c>
      <c r="H11" s="4" t="s">
        <v>21</v>
      </c>
      <c r="I11" s="4" t="s">
        <v>68</v>
      </c>
      <c r="J11" s="4" t="s">
        <v>69</v>
      </c>
      <c r="K11" s="4" t="s">
        <v>70</v>
      </c>
      <c r="L11" s="4" t="s">
        <v>71</v>
      </c>
      <c r="M11" s="4" t="s">
        <v>40</v>
      </c>
      <c r="N11" s="4" t="s">
        <v>36</v>
      </c>
      <c r="O11" s="6"/>
    </row>
    <row r="12" customFormat="false" ht="22.35" hidden="false" customHeight="false" outlineLevel="0" collapsed="false">
      <c r="A12" s="3" t="s">
        <v>16</v>
      </c>
      <c r="B12" s="7" t="s">
        <v>72</v>
      </c>
      <c r="C12" s="7" t="s">
        <v>73</v>
      </c>
      <c r="D12" s="6" t="n">
        <v>10</v>
      </c>
      <c r="E12" s="6" t="n">
        <v>90</v>
      </c>
      <c r="F12" s="7" t="s">
        <v>19</v>
      </c>
      <c r="G12" s="7" t="s">
        <v>19</v>
      </c>
      <c r="H12" s="7" t="s">
        <v>21</v>
      </c>
      <c r="I12" s="7" t="s">
        <v>74</v>
      </c>
      <c r="J12" s="7" t="s">
        <v>75</v>
      </c>
      <c r="K12" s="7" t="s">
        <v>76</v>
      </c>
      <c r="L12" s="7" t="s">
        <v>77</v>
      </c>
      <c r="M12" s="7" t="s">
        <v>40</v>
      </c>
      <c r="N12" s="7" t="s">
        <v>27</v>
      </c>
      <c r="O12" s="6"/>
    </row>
    <row r="13" customFormat="false" ht="22.35" hidden="false" customHeight="false" outlineLevel="0" collapsed="false">
      <c r="A13" s="8" t="s">
        <v>78</v>
      </c>
      <c r="B13" s="4" t="s">
        <v>79</v>
      </c>
      <c r="C13" s="4" t="s">
        <v>80</v>
      </c>
      <c r="D13" s="5" t="n">
        <v>0.1</v>
      </c>
      <c r="E13" s="5" t="n">
        <v>100</v>
      </c>
      <c r="F13" s="4" t="s">
        <v>19</v>
      </c>
      <c r="G13" s="4" t="s">
        <v>19</v>
      </c>
      <c r="H13" s="4" t="s">
        <v>21</v>
      </c>
      <c r="I13" s="4" t="s">
        <v>81</v>
      </c>
      <c r="J13" s="4" t="s">
        <v>82</v>
      </c>
      <c r="K13" s="4" t="s">
        <v>83</v>
      </c>
      <c r="L13" s="4" t="s">
        <v>84</v>
      </c>
      <c r="M13" s="4" t="s">
        <v>40</v>
      </c>
      <c r="N13" s="4" t="s">
        <v>27</v>
      </c>
      <c r="O13" s="6"/>
    </row>
    <row r="14" customFormat="false" ht="15" hidden="false" customHeight="false" outlineLevel="0" collapsed="false">
      <c r="A14" s="8" t="s">
        <v>78</v>
      </c>
      <c r="B14" s="7" t="s">
        <v>85</v>
      </c>
      <c r="C14" s="7" t="s">
        <v>86</v>
      </c>
      <c r="D14" s="6" t="n">
        <v>1</v>
      </c>
      <c r="E14" s="6" t="n">
        <v>30</v>
      </c>
      <c r="F14" s="7" t="s">
        <v>87</v>
      </c>
      <c r="G14" s="7" t="s">
        <v>19</v>
      </c>
      <c r="H14" s="7" t="s">
        <v>21</v>
      </c>
      <c r="I14" s="7" t="s">
        <v>88</v>
      </c>
      <c r="J14" s="7" t="s">
        <v>82</v>
      </c>
      <c r="K14" s="7" t="s">
        <v>89</v>
      </c>
      <c r="L14" s="7" t="s">
        <v>35</v>
      </c>
      <c r="M14" s="7" t="s">
        <v>40</v>
      </c>
      <c r="N14" s="7" t="s">
        <v>36</v>
      </c>
      <c r="O14" s="6"/>
    </row>
    <row r="15" customFormat="false" ht="22.35" hidden="false" customHeight="false" outlineLevel="0" collapsed="false">
      <c r="A15" s="8" t="s">
        <v>78</v>
      </c>
      <c r="B15" s="4" t="s">
        <v>90</v>
      </c>
      <c r="C15" s="4" t="s">
        <v>91</v>
      </c>
      <c r="D15" s="5" t="n">
        <v>1</v>
      </c>
      <c r="E15" s="5" t="n">
        <v>100</v>
      </c>
      <c r="F15" s="4" t="s">
        <v>19</v>
      </c>
      <c r="G15" s="4" t="s">
        <v>19</v>
      </c>
      <c r="H15" s="4" t="s">
        <v>21</v>
      </c>
      <c r="I15" s="4" t="s">
        <v>63</v>
      </c>
      <c r="J15" s="4" t="s">
        <v>82</v>
      </c>
      <c r="K15" s="4" t="s">
        <v>92</v>
      </c>
      <c r="L15" s="4" t="s">
        <v>93</v>
      </c>
      <c r="M15" s="4" t="s">
        <v>40</v>
      </c>
      <c r="N15" s="4" t="s">
        <v>27</v>
      </c>
      <c r="O15" s="6"/>
    </row>
    <row r="16" customFormat="false" ht="22.35" hidden="false" customHeight="false" outlineLevel="0" collapsed="false">
      <c r="A16" s="8" t="s">
        <v>78</v>
      </c>
      <c r="B16" s="7" t="s">
        <v>94</v>
      </c>
      <c r="C16" s="7" t="s">
        <v>67</v>
      </c>
      <c r="D16" s="6" t="n">
        <v>1</v>
      </c>
      <c r="E16" s="6" t="n">
        <v>10</v>
      </c>
      <c r="F16" s="7" t="s">
        <v>19</v>
      </c>
      <c r="G16" s="7" t="s">
        <v>19</v>
      </c>
      <c r="H16" s="7" t="s">
        <v>21</v>
      </c>
      <c r="I16" s="7" t="s">
        <v>95</v>
      </c>
      <c r="J16" s="7" t="s">
        <v>82</v>
      </c>
      <c r="K16" s="7" t="s">
        <v>96</v>
      </c>
      <c r="L16" s="7" t="s">
        <v>97</v>
      </c>
      <c r="M16" s="7" t="s">
        <v>40</v>
      </c>
      <c r="N16" s="7" t="s">
        <v>27</v>
      </c>
      <c r="O16" s="6"/>
    </row>
    <row r="17" customFormat="false" ht="22.35" hidden="false" customHeight="false" outlineLevel="0" collapsed="false">
      <c r="A17" s="8" t="s">
        <v>78</v>
      </c>
      <c r="B17" s="4" t="s">
        <v>98</v>
      </c>
      <c r="C17" s="4" t="s">
        <v>48</v>
      </c>
      <c r="D17" s="5" t="n">
        <v>1</v>
      </c>
      <c r="E17" s="5" t="n">
        <v>5</v>
      </c>
      <c r="F17" s="4" t="s">
        <v>19</v>
      </c>
      <c r="G17" s="4" t="s">
        <v>19</v>
      </c>
      <c r="H17" s="4" t="s">
        <v>21</v>
      </c>
      <c r="I17" s="4" t="s">
        <v>99</v>
      </c>
      <c r="J17" s="4" t="s">
        <v>82</v>
      </c>
      <c r="K17" s="4" t="s">
        <v>100</v>
      </c>
      <c r="L17" s="4" t="s">
        <v>101</v>
      </c>
      <c r="M17" s="4" t="s">
        <v>40</v>
      </c>
      <c r="N17" s="4" t="s">
        <v>27</v>
      </c>
      <c r="O17" s="6"/>
    </row>
    <row r="18" customFormat="false" ht="15" hidden="false" customHeight="false" outlineLevel="0" collapsed="false">
      <c r="A18" s="8" t="s">
        <v>78</v>
      </c>
      <c r="B18" s="7" t="s">
        <v>102</v>
      </c>
      <c r="C18" s="7" t="s">
        <v>67</v>
      </c>
      <c r="D18" s="6" t="n">
        <v>1</v>
      </c>
      <c r="E18" s="6" t="n">
        <v>10</v>
      </c>
      <c r="F18" s="7" t="s">
        <v>19</v>
      </c>
      <c r="G18" s="7" t="s">
        <v>19</v>
      </c>
      <c r="H18" s="7" t="s">
        <v>21</v>
      </c>
      <c r="I18" s="7" t="s">
        <v>103</v>
      </c>
      <c r="J18" s="7" t="s">
        <v>82</v>
      </c>
      <c r="K18" s="7" t="s">
        <v>33</v>
      </c>
      <c r="L18" s="7" t="s">
        <v>104</v>
      </c>
      <c r="M18" s="7" t="s">
        <v>40</v>
      </c>
      <c r="N18" s="7" t="s">
        <v>57</v>
      </c>
      <c r="O18" s="6"/>
    </row>
    <row r="19" customFormat="false" ht="22.35" hidden="false" customHeight="false" outlineLevel="0" collapsed="false">
      <c r="A19" s="8" t="s">
        <v>78</v>
      </c>
      <c r="B19" s="4" t="s">
        <v>105</v>
      </c>
      <c r="C19" s="4" t="s">
        <v>91</v>
      </c>
      <c r="D19" s="5" t="n">
        <v>1</v>
      </c>
      <c r="E19" s="5" t="n">
        <v>100</v>
      </c>
      <c r="F19" s="4" t="s">
        <v>106</v>
      </c>
      <c r="G19" s="4" t="s">
        <v>107</v>
      </c>
      <c r="H19" s="4" t="s">
        <v>108</v>
      </c>
      <c r="I19" s="4" t="s">
        <v>109</v>
      </c>
      <c r="J19" s="4" t="s">
        <v>82</v>
      </c>
      <c r="K19" s="4" t="s">
        <v>96</v>
      </c>
      <c r="L19" s="4" t="s">
        <v>110</v>
      </c>
      <c r="M19" s="4" t="s">
        <v>40</v>
      </c>
      <c r="N19" s="4" t="s">
        <v>27</v>
      </c>
      <c r="O19" s="6"/>
    </row>
    <row r="20" customFormat="false" ht="15" hidden="false" customHeight="false" outlineLevel="0" collapsed="false">
      <c r="A20" s="8" t="s">
        <v>78</v>
      </c>
      <c r="B20" s="7" t="s">
        <v>111</v>
      </c>
      <c r="C20" s="7" t="s">
        <v>67</v>
      </c>
      <c r="D20" s="6" t="n">
        <v>1</v>
      </c>
      <c r="E20" s="6" t="n">
        <v>10</v>
      </c>
      <c r="F20" s="7" t="s">
        <v>112</v>
      </c>
      <c r="G20" s="7" t="s">
        <v>19</v>
      </c>
      <c r="H20" s="7" t="s">
        <v>21</v>
      </c>
      <c r="I20" s="7" t="s">
        <v>113</v>
      </c>
      <c r="J20" s="7" t="s">
        <v>82</v>
      </c>
      <c r="K20" s="7" t="s">
        <v>33</v>
      </c>
      <c r="L20" s="7" t="s">
        <v>35</v>
      </c>
      <c r="M20" s="7" t="s">
        <v>40</v>
      </c>
      <c r="N20" s="7" t="s">
        <v>114</v>
      </c>
      <c r="O20" s="6"/>
    </row>
    <row r="21" customFormat="false" ht="15" hidden="false" customHeight="false" outlineLevel="0" collapsed="false">
      <c r="A21" s="8" t="s">
        <v>78</v>
      </c>
      <c r="B21" s="4" t="s">
        <v>115</v>
      </c>
      <c r="C21" s="4" t="s">
        <v>116</v>
      </c>
      <c r="D21" s="5" t="n">
        <v>1</v>
      </c>
      <c r="E21" s="5" t="n">
        <v>20</v>
      </c>
      <c r="F21" s="4" t="s">
        <v>19</v>
      </c>
      <c r="G21" s="4" t="s">
        <v>19</v>
      </c>
      <c r="H21" s="4" t="s">
        <v>21</v>
      </c>
      <c r="I21" s="4" t="s">
        <v>117</v>
      </c>
      <c r="J21" s="4" t="s">
        <v>82</v>
      </c>
      <c r="K21" s="4" t="s">
        <v>118</v>
      </c>
      <c r="L21" s="4" t="s">
        <v>35</v>
      </c>
      <c r="M21" s="4" t="s">
        <v>40</v>
      </c>
      <c r="N21" s="4" t="s">
        <v>36</v>
      </c>
      <c r="O21" s="6"/>
    </row>
    <row r="22" customFormat="false" ht="15" hidden="false" customHeight="false" outlineLevel="0" collapsed="false">
      <c r="A22" s="8" t="s">
        <v>78</v>
      </c>
      <c r="B22" s="7" t="s">
        <v>119</v>
      </c>
      <c r="C22" s="7" t="s">
        <v>48</v>
      </c>
      <c r="D22" s="6" t="n">
        <v>1</v>
      </c>
      <c r="E22" s="6" t="n">
        <v>5</v>
      </c>
      <c r="F22" s="7" t="s">
        <v>19</v>
      </c>
      <c r="G22" s="7" t="s">
        <v>19</v>
      </c>
      <c r="H22" s="7" t="s">
        <v>21</v>
      </c>
      <c r="I22" s="7" t="s">
        <v>63</v>
      </c>
      <c r="J22" s="7" t="s">
        <v>82</v>
      </c>
      <c r="K22" s="7" t="s">
        <v>120</v>
      </c>
      <c r="L22" s="7" t="s">
        <v>121</v>
      </c>
      <c r="M22" s="7" t="s">
        <v>40</v>
      </c>
      <c r="N22" s="7" t="s">
        <v>27</v>
      </c>
      <c r="O22" s="6"/>
    </row>
    <row r="23" customFormat="false" ht="32.8" hidden="false" customHeight="false" outlineLevel="0" collapsed="false">
      <c r="A23" s="9" t="s">
        <v>122</v>
      </c>
      <c r="B23" s="4" t="s">
        <v>123</v>
      </c>
      <c r="C23" s="4" t="s">
        <v>124</v>
      </c>
      <c r="D23" s="5" t="n">
        <v>1</v>
      </c>
      <c r="E23" s="5" t="n">
        <v>10</v>
      </c>
      <c r="F23" s="4" t="s">
        <v>19</v>
      </c>
      <c r="G23" s="4" t="s">
        <v>20</v>
      </c>
      <c r="H23" s="4" t="s">
        <v>125</v>
      </c>
      <c r="I23" s="4" t="s">
        <v>126</v>
      </c>
      <c r="J23" s="4" t="s">
        <v>44</v>
      </c>
      <c r="K23" s="4" t="s">
        <v>33</v>
      </c>
      <c r="L23" s="4" t="s">
        <v>127</v>
      </c>
      <c r="M23" s="4" t="s">
        <v>128</v>
      </c>
      <c r="N23" s="4" t="s">
        <v>27</v>
      </c>
      <c r="O23" s="6"/>
    </row>
    <row r="24" customFormat="false" ht="22.35" hidden="false" customHeight="false" outlineLevel="0" collapsed="false">
      <c r="A24" s="9" t="s">
        <v>122</v>
      </c>
      <c r="B24" s="7" t="s">
        <v>129</v>
      </c>
      <c r="C24" s="7" t="s">
        <v>130</v>
      </c>
      <c r="D24" s="6" t="n">
        <v>0.5</v>
      </c>
      <c r="E24" s="6" t="n">
        <v>2</v>
      </c>
      <c r="F24" s="7" t="s">
        <v>131</v>
      </c>
      <c r="G24" s="7" t="s">
        <v>132</v>
      </c>
      <c r="H24" s="7" t="s">
        <v>53</v>
      </c>
      <c r="I24" s="7" t="s">
        <v>133</v>
      </c>
      <c r="J24" s="7" t="s">
        <v>69</v>
      </c>
      <c r="K24" s="7" t="s">
        <v>134</v>
      </c>
      <c r="L24" s="7" t="s">
        <v>135</v>
      </c>
      <c r="M24" s="7" t="s">
        <v>56</v>
      </c>
      <c r="N24" s="7" t="s">
        <v>27</v>
      </c>
      <c r="O24" s="6"/>
    </row>
    <row r="25" customFormat="false" ht="22.35" hidden="false" customHeight="false" outlineLevel="0" collapsed="false">
      <c r="A25" s="9" t="s">
        <v>122</v>
      </c>
      <c r="B25" s="4" t="s">
        <v>136</v>
      </c>
      <c r="C25" s="4" t="s">
        <v>137</v>
      </c>
      <c r="D25" s="5" t="n">
        <v>0.1</v>
      </c>
      <c r="E25" s="5" t="n">
        <v>1</v>
      </c>
      <c r="F25" s="4" t="s">
        <v>138</v>
      </c>
      <c r="G25" s="4" t="s">
        <v>132</v>
      </c>
      <c r="H25" s="4" t="s">
        <v>53</v>
      </c>
      <c r="I25" s="4" t="s">
        <v>139</v>
      </c>
      <c r="J25" s="4" t="s">
        <v>69</v>
      </c>
      <c r="K25" s="4" t="s">
        <v>140</v>
      </c>
      <c r="L25" s="4" t="s">
        <v>141</v>
      </c>
      <c r="M25" s="4" t="s">
        <v>142</v>
      </c>
      <c r="N25" s="4" t="s">
        <v>143</v>
      </c>
      <c r="O25" s="6"/>
    </row>
    <row r="26" customFormat="false" ht="15" hidden="false" customHeight="false" outlineLevel="0" collapsed="false">
      <c r="A26" s="9" t="s">
        <v>122</v>
      </c>
      <c r="B26" s="7" t="s">
        <v>144</v>
      </c>
      <c r="C26" s="7" t="s">
        <v>145</v>
      </c>
      <c r="D26" s="6" t="n">
        <v>2</v>
      </c>
      <c r="E26" s="6" t="n">
        <v>5</v>
      </c>
      <c r="F26" s="7" t="s">
        <v>146</v>
      </c>
      <c r="G26" s="7" t="s">
        <v>19</v>
      </c>
      <c r="H26" s="7" t="s">
        <v>21</v>
      </c>
      <c r="I26" s="7" t="s">
        <v>147</v>
      </c>
      <c r="J26" s="7" t="s">
        <v>44</v>
      </c>
      <c r="K26" s="7" t="s">
        <v>33</v>
      </c>
      <c r="L26" s="7" t="s">
        <v>35</v>
      </c>
      <c r="M26" s="7" t="s">
        <v>40</v>
      </c>
      <c r="N26" s="7" t="s">
        <v>27</v>
      </c>
      <c r="O26" s="6"/>
    </row>
    <row r="27" customFormat="false" ht="22.35" hidden="false" customHeight="false" outlineLevel="0" collapsed="false">
      <c r="A27" s="9" t="s">
        <v>122</v>
      </c>
      <c r="B27" s="4" t="s">
        <v>148</v>
      </c>
      <c r="C27" s="4" t="s">
        <v>149</v>
      </c>
      <c r="D27" s="5" t="n">
        <v>5</v>
      </c>
      <c r="E27" s="5" t="n">
        <v>20</v>
      </c>
      <c r="F27" s="4" t="s">
        <v>19</v>
      </c>
      <c r="G27" s="4" t="s">
        <v>19</v>
      </c>
      <c r="H27" s="4" t="s">
        <v>21</v>
      </c>
      <c r="I27" s="4" t="s">
        <v>150</v>
      </c>
      <c r="J27" s="4" t="s">
        <v>151</v>
      </c>
      <c r="K27" s="4" t="s">
        <v>152</v>
      </c>
      <c r="L27" s="4" t="s">
        <v>153</v>
      </c>
      <c r="M27" s="4" t="s">
        <v>154</v>
      </c>
      <c r="N27" s="4" t="s">
        <v>36</v>
      </c>
      <c r="O27" s="6"/>
    </row>
    <row r="28" customFormat="false" ht="22.35" hidden="false" customHeight="false" outlineLevel="0" collapsed="false">
      <c r="A28" s="9" t="s">
        <v>122</v>
      </c>
      <c r="B28" s="7" t="s">
        <v>155</v>
      </c>
      <c r="C28" s="7" t="s">
        <v>156</v>
      </c>
      <c r="D28" s="6" t="n">
        <v>0</v>
      </c>
      <c r="E28" s="6" t="n">
        <v>0</v>
      </c>
      <c r="F28" s="7" t="s">
        <v>157</v>
      </c>
      <c r="G28" s="7" t="s">
        <v>158</v>
      </c>
      <c r="H28" s="7" t="s">
        <v>159</v>
      </c>
      <c r="I28" s="7" t="s">
        <v>160</v>
      </c>
      <c r="J28" s="7" t="s">
        <v>69</v>
      </c>
      <c r="K28" s="7" t="s">
        <v>161</v>
      </c>
      <c r="L28" s="7" t="s">
        <v>162</v>
      </c>
      <c r="M28" s="7" t="s">
        <v>163</v>
      </c>
      <c r="N28" s="7" t="s">
        <v>143</v>
      </c>
      <c r="O28" s="6"/>
    </row>
    <row r="29" customFormat="false" ht="15" hidden="false" customHeight="false" outlineLevel="0" collapsed="false">
      <c r="A29" s="9" t="s">
        <v>122</v>
      </c>
      <c r="B29" s="4" t="s">
        <v>164</v>
      </c>
      <c r="C29" s="4" t="s">
        <v>165</v>
      </c>
      <c r="D29" s="5" t="n">
        <v>0.5</v>
      </c>
      <c r="E29" s="5" t="n">
        <v>2</v>
      </c>
      <c r="F29" s="4" t="s">
        <v>19</v>
      </c>
      <c r="G29" s="4" t="s">
        <v>19</v>
      </c>
      <c r="H29" s="4" t="s">
        <v>21</v>
      </c>
      <c r="I29" s="4" t="s">
        <v>63</v>
      </c>
      <c r="J29" s="4" t="s">
        <v>69</v>
      </c>
      <c r="K29" s="4" t="s">
        <v>166</v>
      </c>
      <c r="L29" s="4" t="s">
        <v>35</v>
      </c>
      <c r="M29" s="4" t="s">
        <v>40</v>
      </c>
      <c r="N29" s="4" t="s">
        <v>27</v>
      </c>
      <c r="O29" s="6"/>
    </row>
    <row r="30" customFormat="false" ht="32.8" hidden="false" customHeight="false" outlineLevel="0" collapsed="false">
      <c r="A30" s="9" t="s">
        <v>122</v>
      </c>
      <c r="B30" s="7" t="s">
        <v>167</v>
      </c>
      <c r="C30" s="7" t="s">
        <v>168</v>
      </c>
      <c r="D30" s="6" t="n">
        <v>1</v>
      </c>
      <c r="E30" s="6" t="n">
        <v>10</v>
      </c>
      <c r="F30" s="7" t="s">
        <v>19</v>
      </c>
      <c r="G30" s="7" t="s">
        <v>169</v>
      </c>
      <c r="H30" s="7" t="s">
        <v>170</v>
      </c>
      <c r="I30" s="7" t="s">
        <v>171</v>
      </c>
      <c r="J30" s="7" t="s">
        <v>75</v>
      </c>
      <c r="K30" s="7" t="s">
        <v>33</v>
      </c>
      <c r="L30" s="7" t="s">
        <v>35</v>
      </c>
      <c r="M30" s="7" t="s">
        <v>40</v>
      </c>
      <c r="N30" s="7" t="s">
        <v>27</v>
      </c>
      <c r="O30" s="6"/>
    </row>
    <row r="31" customFormat="false" ht="22.35" hidden="false" customHeight="false" outlineLevel="0" collapsed="false">
      <c r="A31" s="9" t="s">
        <v>122</v>
      </c>
      <c r="B31" s="4" t="s">
        <v>172</v>
      </c>
      <c r="C31" s="4" t="s">
        <v>29</v>
      </c>
      <c r="D31" s="5" t="n">
        <v>2</v>
      </c>
      <c r="E31" s="5" t="n">
        <v>10</v>
      </c>
      <c r="F31" s="4" t="s">
        <v>19</v>
      </c>
      <c r="G31" s="4" t="s">
        <v>19</v>
      </c>
      <c r="H31" s="4" t="s">
        <v>21</v>
      </c>
      <c r="I31" s="4" t="s">
        <v>173</v>
      </c>
      <c r="J31" s="4" t="s">
        <v>174</v>
      </c>
      <c r="K31" s="4" t="s">
        <v>175</v>
      </c>
      <c r="L31" s="4" t="s">
        <v>176</v>
      </c>
      <c r="M31" s="4" t="s">
        <v>40</v>
      </c>
      <c r="N31" s="4" t="s">
        <v>27</v>
      </c>
      <c r="O31" s="6"/>
    </row>
    <row r="32" customFormat="false" ht="22.35" hidden="false" customHeight="false" outlineLevel="0" collapsed="false">
      <c r="A32" s="9" t="s">
        <v>122</v>
      </c>
      <c r="B32" s="7" t="s">
        <v>177</v>
      </c>
      <c r="C32" s="7" t="s">
        <v>178</v>
      </c>
      <c r="D32" s="6" t="n">
        <v>0.1</v>
      </c>
      <c r="E32" s="6" t="n">
        <v>0.5</v>
      </c>
      <c r="F32" s="7" t="s">
        <v>179</v>
      </c>
      <c r="G32" s="7" t="s">
        <v>19</v>
      </c>
      <c r="H32" s="7" t="s">
        <v>53</v>
      </c>
      <c r="I32" s="7" t="s">
        <v>180</v>
      </c>
      <c r="J32" s="7" t="s">
        <v>69</v>
      </c>
      <c r="K32" s="7" t="s">
        <v>33</v>
      </c>
      <c r="L32" s="7" t="s">
        <v>35</v>
      </c>
      <c r="M32" s="7" t="s">
        <v>40</v>
      </c>
      <c r="N32" s="7" t="s">
        <v>143</v>
      </c>
      <c r="O32" s="6"/>
    </row>
    <row r="33" customFormat="false" ht="22.35" hidden="false" customHeight="false" outlineLevel="0" collapsed="false">
      <c r="A33" s="10" t="s">
        <v>181</v>
      </c>
      <c r="B33" s="4" t="s">
        <v>182</v>
      </c>
      <c r="C33" s="4" t="s">
        <v>183</v>
      </c>
      <c r="D33" s="5" t="n">
        <v>0.1</v>
      </c>
      <c r="E33" s="5" t="n">
        <v>1</v>
      </c>
      <c r="F33" s="4" t="s">
        <v>184</v>
      </c>
      <c r="G33" s="4" t="s">
        <v>185</v>
      </c>
      <c r="H33" s="4" t="s">
        <v>186</v>
      </c>
      <c r="I33" s="4" t="s">
        <v>187</v>
      </c>
      <c r="J33" s="4" t="s">
        <v>188</v>
      </c>
      <c r="K33" s="4" t="s">
        <v>189</v>
      </c>
      <c r="L33" s="4" t="s">
        <v>190</v>
      </c>
      <c r="M33" s="4" t="s">
        <v>191</v>
      </c>
      <c r="N33" s="4" t="s">
        <v>36</v>
      </c>
      <c r="O33" s="6"/>
    </row>
    <row r="34" customFormat="false" ht="22.35" hidden="false" customHeight="false" outlineLevel="0" collapsed="false">
      <c r="A34" s="10" t="s">
        <v>181</v>
      </c>
      <c r="B34" s="7" t="s">
        <v>192</v>
      </c>
      <c r="C34" s="7" t="s">
        <v>193</v>
      </c>
      <c r="D34" s="6" t="n">
        <v>0.05</v>
      </c>
      <c r="E34" s="6" t="n">
        <v>0.1</v>
      </c>
      <c r="F34" s="7" t="s">
        <v>194</v>
      </c>
      <c r="G34" s="7" t="s">
        <v>19</v>
      </c>
      <c r="H34" s="7" t="s">
        <v>21</v>
      </c>
      <c r="I34" s="7" t="s">
        <v>195</v>
      </c>
      <c r="J34" s="7" t="s">
        <v>188</v>
      </c>
      <c r="K34" s="7" t="s">
        <v>196</v>
      </c>
      <c r="L34" s="7" t="s">
        <v>197</v>
      </c>
      <c r="M34" s="7" t="s">
        <v>198</v>
      </c>
      <c r="N34" s="7" t="s">
        <v>36</v>
      </c>
      <c r="O34" s="6"/>
    </row>
    <row r="35" customFormat="false" ht="15" hidden="false" customHeight="false" outlineLevel="0" collapsed="false">
      <c r="A35" s="10" t="s">
        <v>181</v>
      </c>
      <c r="B35" s="4" t="s">
        <v>199</v>
      </c>
      <c r="C35" s="4" t="s">
        <v>165</v>
      </c>
      <c r="D35" s="5" t="n">
        <v>0.5</v>
      </c>
      <c r="E35" s="5" t="n">
        <v>2</v>
      </c>
      <c r="F35" s="4" t="s">
        <v>19</v>
      </c>
      <c r="G35" s="4" t="s">
        <v>19</v>
      </c>
      <c r="H35" s="4" t="s">
        <v>21</v>
      </c>
      <c r="I35" s="4" t="s">
        <v>200</v>
      </c>
      <c r="J35" s="4" t="s">
        <v>201</v>
      </c>
      <c r="K35" s="4" t="s">
        <v>202</v>
      </c>
      <c r="L35" s="4" t="s">
        <v>35</v>
      </c>
      <c r="M35" s="4" t="s">
        <v>40</v>
      </c>
      <c r="N35" s="4" t="s">
        <v>27</v>
      </c>
      <c r="O35" s="6"/>
    </row>
    <row r="36" customFormat="false" ht="22.35" hidden="false" customHeight="false" outlineLevel="0" collapsed="false">
      <c r="A36" s="10" t="s">
        <v>181</v>
      </c>
      <c r="B36" s="7" t="s">
        <v>203</v>
      </c>
      <c r="C36" s="7" t="s">
        <v>204</v>
      </c>
      <c r="D36" s="6" t="n">
        <v>1</v>
      </c>
      <c r="E36" s="6" t="n">
        <v>5</v>
      </c>
      <c r="F36" s="7" t="s">
        <v>19</v>
      </c>
      <c r="G36" s="7" t="s">
        <v>19</v>
      </c>
      <c r="H36" s="7" t="s">
        <v>21</v>
      </c>
      <c r="I36" s="7" t="s">
        <v>63</v>
      </c>
      <c r="J36" s="7" t="s">
        <v>44</v>
      </c>
      <c r="K36" s="7" t="s">
        <v>205</v>
      </c>
      <c r="L36" s="7" t="s">
        <v>206</v>
      </c>
      <c r="M36" s="7" t="s">
        <v>207</v>
      </c>
      <c r="N36" s="7" t="s">
        <v>27</v>
      </c>
      <c r="O36" s="6"/>
    </row>
    <row r="37" customFormat="false" ht="22.35" hidden="false" customHeight="false" outlineLevel="0" collapsed="false">
      <c r="A37" s="10" t="s">
        <v>181</v>
      </c>
      <c r="B37" s="4" t="s">
        <v>208</v>
      </c>
      <c r="C37" s="4" t="s">
        <v>183</v>
      </c>
      <c r="D37" s="5" t="n">
        <v>0.1</v>
      </c>
      <c r="E37" s="5" t="n">
        <v>1</v>
      </c>
      <c r="F37" s="4" t="s">
        <v>19</v>
      </c>
      <c r="G37" s="4" t="s">
        <v>19</v>
      </c>
      <c r="H37" s="4" t="s">
        <v>21</v>
      </c>
      <c r="I37" s="4" t="s">
        <v>63</v>
      </c>
      <c r="J37" s="4" t="s">
        <v>82</v>
      </c>
      <c r="K37" s="4" t="s">
        <v>209</v>
      </c>
      <c r="L37" s="4" t="s">
        <v>210</v>
      </c>
      <c r="M37" s="4" t="s">
        <v>40</v>
      </c>
      <c r="N37" s="4" t="s">
        <v>27</v>
      </c>
      <c r="O37" s="6"/>
    </row>
    <row r="38" customFormat="false" ht="32.8" hidden="false" customHeight="false" outlineLevel="0" collapsed="false">
      <c r="A38" s="10" t="s">
        <v>181</v>
      </c>
      <c r="B38" s="7" t="s">
        <v>211</v>
      </c>
      <c r="C38" s="7" t="s">
        <v>212</v>
      </c>
      <c r="D38" s="6" t="n">
        <v>0.5</v>
      </c>
      <c r="E38" s="6" t="n">
        <v>1</v>
      </c>
      <c r="F38" s="7" t="s">
        <v>19</v>
      </c>
      <c r="G38" s="7" t="s">
        <v>19</v>
      </c>
      <c r="H38" s="7" t="s">
        <v>21</v>
      </c>
      <c r="I38" s="7" t="s">
        <v>63</v>
      </c>
      <c r="J38" s="7" t="s">
        <v>213</v>
      </c>
      <c r="K38" s="7" t="s">
        <v>76</v>
      </c>
      <c r="L38" s="7" t="s">
        <v>214</v>
      </c>
      <c r="M38" s="7" t="s">
        <v>40</v>
      </c>
      <c r="N38" s="7" t="s">
        <v>27</v>
      </c>
      <c r="O38" s="6"/>
    </row>
    <row r="39" customFormat="false" ht="22.35" hidden="false" customHeight="false" outlineLevel="0" collapsed="false">
      <c r="A39" s="10" t="s">
        <v>181</v>
      </c>
      <c r="B39" s="4" t="s">
        <v>215</v>
      </c>
      <c r="C39" s="4" t="s">
        <v>216</v>
      </c>
      <c r="D39" s="5" t="n">
        <v>0.5</v>
      </c>
      <c r="E39" s="5" t="n">
        <v>5</v>
      </c>
      <c r="F39" s="4" t="s">
        <v>19</v>
      </c>
      <c r="G39" s="4" t="s">
        <v>19</v>
      </c>
      <c r="H39" s="4" t="s">
        <v>21</v>
      </c>
      <c r="I39" s="4" t="s">
        <v>217</v>
      </c>
      <c r="J39" s="4" t="s">
        <v>69</v>
      </c>
      <c r="K39" s="4" t="s">
        <v>218</v>
      </c>
      <c r="L39" s="4" t="s">
        <v>219</v>
      </c>
      <c r="M39" s="4" t="s">
        <v>35</v>
      </c>
      <c r="N39" s="4" t="s">
        <v>36</v>
      </c>
      <c r="O39" s="6"/>
    </row>
    <row r="40" customFormat="false" ht="22.35" hidden="false" customHeight="false" outlineLevel="0" collapsed="false">
      <c r="A40" s="10" t="s">
        <v>181</v>
      </c>
      <c r="B40" s="7" t="s">
        <v>220</v>
      </c>
      <c r="C40" s="7" t="s">
        <v>221</v>
      </c>
      <c r="D40" s="6" t="n">
        <v>0.1</v>
      </c>
      <c r="E40" s="6" t="n">
        <v>5</v>
      </c>
      <c r="F40" s="7" t="s">
        <v>19</v>
      </c>
      <c r="G40" s="7" t="s">
        <v>19</v>
      </c>
      <c r="H40" s="7" t="s">
        <v>21</v>
      </c>
      <c r="I40" s="7" t="s">
        <v>222</v>
      </c>
      <c r="J40" s="7" t="s">
        <v>44</v>
      </c>
      <c r="K40" s="7" t="s">
        <v>223</v>
      </c>
      <c r="L40" s="7" t="s">
        <v>224</v>
      </c>
      <c r="M40" s="7" t="s">
        <v>225</v>
      </c>
      <c r="N40" s="7" t="s">
        <v>27</v>
      </c>
      <c r="O40" s="6"/>
    </row>
    <row r="41" customFormat="false" ht="22.35" hidden="false" customHeight="false" outlineLevel="0" collapsed="false">
      <c r="A41" s="10" t="s">
        <v>181</v>
      </c>
      <c r="B41" s="4" t="s">
        <v>226</v>
      </c>
      <c r="C41" s="4" t="s">
        <v>48</v>
      </c>
      <c r="D41" s="5" t="n">
        <v>1</v>
      </c>
      <c r="E41" s="5" t="n">
        <v>5</v>
      </c>
      <c r="F41" s="4" t="s">
        <v>19</v>
      </c>
      <c r="G41" s="4" t="s">
        <v>19</v>
      </c>
      <c r="H41" s="4" t="s">
        <v>21</v>
      </c>
      <c r="I41" s="4" t="s">
        <v>227</v>
      </c>
      <c r="J41" s="4" t="s">
        <v>44</v>
      </c>
      <c r="K41" s="4" t="s">
        <v>76</v>
      </c>
      <c r="L41" s="4" t="s">
        <v>35</v>
      </c>
      <c r="M41" s="4" t="s">
        <v>40</v>
      </c>
      <c r="N41" s="4" t="s">
        <v>27</v>
      </c>
      <c r="O41" s="6"/>
    </row>
    <row r="42" customFormat="false" ht="15" hidden="false" customHeight="false" outlineLevel="0" collapsed="false">
      <c r="A42" s="10" t="s">
        <v>181</v>
      </c>
      <c r="B42" s="7" t="s">
        <v>228</v>
      </c>
      <c r="C42" s="7" t="s">
        <v>229</v>
      </c>
      <c r="D42" s="6" t="n">
        <v>0.04</v>
      </c>
      <c r="E42" s="6" t="n">
        <v>0.1</v>
      </c>
      <c r="F42" s="7" t="s">
        <v>230</v>
      </c>
      <c r="G42" s="7" t="s">
        <v>19</v>
      </c>
      <c r="H42" s="7" t="s">
        <v>21</v>
      </c>
      <c r="I42" s="7" t="s">
        <v>63</v>
      </c>
      <c r="J42" s="7" t="s">
        <v>44</v>
      </c>
      <c r="K42" s="7" t="s">
        <v>33</v>
      </c>
      <c r="L42" s="7" t="s">
        <v>35</v>
      </c>
      <c r="M42" s="7" t="s">
        <v>40</v>
      </c>
      <c r="N42" s="7" t="s">
        <v>27</v>
      </c>
      <c r="O42" s="6"/>
    </row>
    <row r="43" customFormat="false" ht="32.8" hidden="false" customHeight="false" outlineLevel="0" collapsed="false">
      <c r="A43" s="11" t="s">
        <v>231</v>
      </c>
      <c r="B43" s="4" t="s">
        <v>232</v>
      </c>
      <c r="C43" s="4" t="s">
        <v>130</v>
      </c>
      <c r="D43" s="5" t="n">
        <v>0.5</v>
      </c>
      <c r="E43" s="5" t="n">
        <v>2</v>
      </c>
      <c r="F43" s="4" t="s">
        <v>233</v>
      </c>
      <c r="G43" s="4" t="s">
        <v>234</v>
      </c>
      <c r="H43" s="4" t="s">
        <v>235</v>
      </c>
      <c r="I43" s="4" t="s">
        <v>236</v>
      </c>
      <c r="J43" s="4" t="s">
        <v>237</v>
      </c>
      <c r="K43" s="4" t="s">
        <v>33</v>
      </c>
      <c r="L43" s="4" t="s">
        <v>238</v>
      </c>
      <c r="M43" s="4" t="s">
        <v>239</v>
      </c>
      <c r="N43" s="4" t="s">
        <v>57</v>
      </c>
      <c r="O43" s="6"/>
    </row>
    <row r="44" customFormat="false" ht="22.35" hidden="false" customHeight="false" outlineLevel="0" collapsed="false">
      <c r="A44" s="11" t="s">
        <v>231</v>
      </c>
      <c r="B44" s="7" t="s">
        <v>240</v>
      </c>
      <c r="C44" s="7" t="s">
        <v>124</v>
      </c>
      <c r="D44" s="6" t="n">
        <v>1</v>
      </c>
      <c r="E44" s="6" t="n">
        <v>10</v>
      </c>
      <c r="F44" s="7" t="s">
        <v>241</v>
      </c>
      <c r="G44" s="7" t="s">
        <v>242</v>
      </c>
      <c r="H44" s="7" t="s">
        <v>53</v>
      </c>
      <c r="I44" s="7" t="s">
        <v>243</v>
      </c>
      <c r="J44" s="7" t="s">
        <v>237</v>
      </c>
      <c r="K44" s="7" t="s">
        <v>33</v>
      </c>
      <c r="L44" s="7" t="s">
        <v>244</v>
      </c>
      <c r="M44" s="7" t="s">
        <v>245</v>
      </c>
      <c r="N44" s="7" t="s">
        <v>36</v>
      </c>
      <c r="O44" s="6"/>
    </row>
    <row r="45" customFormat="false" ht="22.35" hidden="false" customHeight="false" outlineLevel="0" collapsed="false">
      <c r="A45" s="11" t="s">
        <v>231</v>
      </c>
      <c r="B45" s="4" t="s">
        <v>246</v>
      </c>
      <c r="C45" s="4" t="s">
        <v>124</v>
      </c>
      <c r="D45" s="5" t="n">
        <v>1</v>
      </c>
      <c r="E45" s="5" t="n">
        <v>10</v>
      </c>
      <c r="F45" s="4" t="s">
        <v>241</v>
      </c>
      <c r="G45" s="4" t="s">
        <v>242</v>
      </c>
      <c r="H45" s="4" t="s">
        <v>53</v>
      </c>
      <c r="I45" s="4" t="s">
        <v>247</v>
      </c>
      <c r="J45" s="4" t="s">
        <v>248</v>
      </c>
      <c r="K45" s="4" t="s">
        <v>33</v>
      </c>
      <c r="L45" s="4" t="s">
        <v>249</v>
      </c>
      <c r="M45" s="4" t="s">
        <v>250</v>
      </c>
      <c r="N45" s="4" t="s">
        <v>57</v>
      </c>
      <c r="O45" s="6"/>
    </row>
    <row r="46" customFormat="false" ht="22.35" hidden="false" customHeight="false" outlineLevel="0" collapsed="false">
      <c r="A46" s="11" t="s">
        <v>231</v>
      </c>
      <c r="B46" s="7" t="s">
        <v>251</v>
      </c>
      <c r="C46" s="7" t="s">
        <v>124</v>
      </c>
      <c r="D46" s="6" t="n">
        <v>1</v>
      </c>
      <c r="E46" s="6" t="n">
        <v>10</v>
      </c>
      <c r="F46" s="7" t="s">
        <v>252</v>
      </c>
      <c r="G46" s="7" t="s">
        <v>253</v>
      </c>
      <c r="H46" s="7" t="s">
        <v>21</v>
      </c>
      <c r="I46" s="7" t="s">
        <v>254</v>
      </c>
      <c r="J46" s="7" t="s">
        <v>248</v>
      </c>
      <c r="K46" s="7" t="s">
        <v>33</v>
      </c>
      <c r="L46" s="7" t="s">
        <v>255</v>
      </c>
      <c r="M46" s="7" t="s">
        <v>35</v>
      </c>
      <c r="N46" s="7" t="s">
        <v>27</v>
      </c>
      <c r="O46" s="6"/>
    </row>
    <row r="47" customFormat="false" ht="22.35" hidden="false" customHeight="false" outlineLevel="0" collapsed="false">
      <c r="A47" s="11" t="s">
        <v>231</v>
      </c>
      <c r="B47" s="4" t="s">
        <v>256</v>
      </c>
      <c r="C47" s="4" t="s">
        <v>124</v>
      </c>
      <c r="D47" s="5" t="n">
        <v>2.5</v>
      </c>
      <c r="E47" s="5" t="n">
        <v>10</v>
      </c>
      <c r="F47" s="4" t="s">
        <v>257</v>
      </c>
      <c r="G47" s="4" t="s">
        <v>258</v>
      </c>
      <c r="H47" s="4" t="s">
        <v>235</v>
      </c>
      <c r="I47" s="4" t="s">
        <v>259</v>
      </c>
      <c r="J47" s="4" t="s">
        <v>69</v>
      </c>
      <c r="K47" s="4" t="s">
        <v>260</v>
      </c>
      <c r="L47" s="4" t="s">
        <v>261</v>
      </c>
      <c r="M47" s="4" t="s">
        <v>262</v>
      </c>
      <c r="N47" s="4" t="s">
        <v>36</v>
      </c>
      <c r="O47" s="6"/>
    </row>
    <row r="48" customFormat="false" ht="22.35" hidden="false" customHeight="false" outlineLevel="0" collapsed="false">
      <c r="A48" s="11" t="s">
        <v>231</v>
      </c>
      <c r="B48" s="7" t="s">
        <v>263</v>
      </c>
      <c r="C48" s="7" t="s">
        <v>124</v>
      </c>
      <c r="D48" s="6" t="n">
        <v>1</v>
      </c>
      <c r="E48" s="6" t="n">
        <v>10</v>
      </c>
      <c r="F48" s="7" t="s">
        <v>264</v>
      </c>
      <c r="G48" s="7" t="s">
        <v>258</v>
      </c>
      <c r="H48" s="7" t="s">
        <v>235</v>
      </c>
      <c r="I48" s="7" t="s">
        <v>265</v>
      </c>
      <c r="J48" s="7" t="s">
        <v>69</v>
      </c>
      <c r="K48" s="7" t="s">
        <v>33</v>
      </c>
      <c r="L48" s="7" t="s">
        <v>35</v>
      </c>
      <c r="M48" s="7" t="s">
        <v>40</v>
      </c>
      <c r="N48" s="7" t="s">
        <v>57</v>
      </c>
      <c r="O48" s="6"/>
    </row>
    <row r="49" customFormat="false" ht="22.35" hidden="false" customHeight="false" outlineLevel="0" collapsed="false">
      <c r="A49" s="11" t="s">
        <v>231</v>
      </c>
      <c r="B49" s="4" t="s">
        <v>266</v>
      </c>
      <c r="C49" s="4" t="s">
        <v>124</v>
      </c>
      <c r="D49" s="5" t="n">
        <v>1</v>
      </c>
      <c r="E49" s="5" t="n">
        <v>10</v>
      </c>
      <c r="F49" s="4" t="s">
        <v>19</v>
      </c>
      <c r="G49" s="4" t="s">
        <v>19</v>
      </c>
      <c r="H49" s="4" t="s">
        <v>21</v>
      </c>
      <c r="I49" s="4" t="s">
        <v>267</v>
      </c>
      <c r="J49" s="4" t="s">
        <v>268</v>
      </c>
      <c r="K49" s="4" t="s">
        <v>33</v>
      </c>
      <c r="L49" s="4" t="s">
        <v>269</v>
      </c>
      <c r="M49" s="4" t="s">
        <v>40</v>
      </c>
      <c r="N49" s="4" t="s">
        <v>27</v>
      </c>
      <c r="O49" s="6"/>
    </row>
    <row r="50" customFormat="false" ht="22.35" hidden="false" customHeight="false" outlineLevel="0" collapsed="false">
      <c r="A50" s="11" t="s">
        <v>231</v>
      </c>
      <c r="B50" s="7" t="s">
        <v>270</v>
      </c>
      <c r="C50" s="7" t="s">
        <v>271</v>
      </c>
      <c r="D50" s="6" t="n">
        <v>0.025</v>
      </c>
      <c r="E50" s="6" t="n">
        <v>0.1</v>
      </c>
      <c r="F50" s="7" t="s">
        <v>272</v>
      </c>
      <c r="G50" s="7" t="s">
        <v>273</v>
      </c>
      <c r="H50" s="7" t="s">
        <v>274</v>
      </c>
      <c r="I50" s="7" t="s">
        <v>275</v>
      </c>
      <c r="J50" s="7" t="s">
        <v>188</v>
      </c>
      <c r="K50" s="7" t="s">
        <v>276</v>
      </c>
      <c r="L50" s="7" t="s">
        <v>277</v>
      </c>
      <c r="M50" s="7" t="s">
        <v>278</v>
      </c>
      <c r="N50" s="7" t="s">
        <v>114</v>
      </c>
      <c r="O50" s="6"/>
    </row>
    <row r="51" customFormat="false" ht="22.35" hidden="false" customHeight="false" outlineLevel="0" collapsed="false">
      <c r="A51" s="11" t="s">
        <v>231</v>
      </c>
      <c r="B51" s="4" t="s">
        <v>279</v>
      </c>
      <c r="C51" s="4" t="s">
        <v>165</v>
      </c>
      <c r="D51" s="5" t="n">
        <v>0.5</v>
      </c>
      <c r="E51" s="5" t="n">
        <v>2</v>
      </c>
      <c r="F51" s="4" t="s">
        <v>19</v>
      </c>
      <c r="G51" s="4" t="s">
        <v>19</v>
      </c>
      <c r="H51" s="4" t="s">
        <v>21</v>
      </c>
      <c r="I51" s="4" t="s">
        <v>63</v>
      </c>
      <c r="J51" s="4" t="s">
        <v>201</v>
      </c>
      <c r="K51" s="4" t="s">
        <v>33</v>
      </c>
      <c r="L51" s="4" t="s">
        <v>280</v>
      </c>
      <c r="M51" s="4" t="s">
        <v>40</v>
      </c>
      <c r="N51" s="4" t="s">
        <v>27</v>
      </c>
      <c r="O51" s="6"/>
    </row>
    <row r="52" customFormat="false" ht="22.35" hidden="false" customHeight="false" outlineLevel="0" collapsed="false">
      <c r="A52" s="11" t="s">
        <v>231</v>
      </c>
      <c r="B52" s="7" t="s">
        <v>281</v>
      </c>
      <c r="C52" s="7" t="s">
        <v>48</v>
      </c>
      <c r="D52" s="6" t="n">
        <v>1</v>
      </c>
      <c r="E52" s="6" t="n">
        <v>5</v>
      </c>
      <c r="F52" s="7" t="s">
        <v>282</v>
      </c>
      <c r="G52" s="7" t="s">
        <v>19</v>
      </c>
      <c r="H52" s="7" t="s">
        <v>53</v>
      </c>
      <c r="I52" s="7" t="s">
        <v>283</v>
      </c>
      <c r="J52" s="7" t="s">
        <v>82</v>
      </c>
      <c r="K52" s="7" t="s">
        <v>284</v>
      </c>
      <c r="L52" s="7" t="s">
        <v>285</v>
      </c>
      <c r="M52" s="7" t="s">
        <v>35</v>
      </c>
      <c r="N52" s="7" t="s">
        <v>143</v>
      </c>
      <c r="O52" s="6"/>
    </row>
    <row r="53" customFormat="false" ht="22.35" hidden="false" customHeight="false" outlineLevel="0" collapsed="false">
      <c r="A53" s="12" t="s">
        <v>286</v>
      </c>
      <c r="B53" s="4" t="s">
        <v>287</v>
      </c>
      <c r="C53" s="4" t="s">
        <v>137</v>
      </c>
      <c r="D53" s="5" t="n">
        <v>0.2</v>
      </c>
      <c r="E53" s="5" t="n">
        <v>1</v>
      </c>
      <c r="F53" s="4" t="s">
        <v>288</v>
      </c>
      <c r="G53" s="4" t="s">
        <v>289</v>
      </c>
      <c r="H53" s="4" t="s">
        <v>290</v>
      </c>
      <c r="I53" s="4" t="s">
        <v>291</v>
      </c>
      <c r="J53" s="4" t="s">
        <v>292</v>
      </c>
      <c r="K53" s="4" t="s">
        <v>33</v>
      </c>
      <c r="L53" s="4" t="s">
        <v>293</v>
      </c>
      <c r="M53" s="4" t="s">
        <v>35</v>
      </c>
      <c r="N53" s="4" t="s">
        <v>27</v>
      </c>
      <c r="O53" s="6"/>
    </row>
    <row r="54" customFormat="false" ht="22.35" hidden="false" customHeight="false" outlineLevel="0" collapsed="false">
      <c r="A54" s="12" t="s">
        <v>286</v>
      </c>
      <c r="B54" s="7" t="s">
        <v>294</v>
      </c>
      <c r="C54" s="7" t="s">
        <v>295</v>
      </c>
      <c r="D54" s="6" t="n">
        <v>0.1</v>
      </c>
      <c r="E54" s="6" t="n">
        <v>0.4</v>
      </c>
      <c r="F54" s="7" t="s">
        <v>296</v>
      </c>
      <c r="G54" s="7" t="s">
        <v>297</v>
      </c>
      <c r="H54" s="7" t="s">
        <v>290</v>
      </c>
      <c r="I54" s="7" t="s">
        <v>298</v>
      </c>
      <c r="J54" s="7" t="s">
        <v>292</v>
      </c>
      <c r="K54" s="7" t="s">
        <v>33</v>
      </c>
      <c r="L54" s="7" t="s">
        <v>299</v>
      </c>
      <c r="M54" s="7" t="s">
        <v>35</v>
      </c>
      <c r="N54" s="7" t="s">
        <v>57</v>
      </c>
      <c r="O54" s="6"/>
    </row>
    <row r="55" customFormat="false" ht="22.35" hidden="false" customHeight="false" outlineLevel="0" collapsed="false">
      <c r="A55" s="12" t="s">
        <v>286</v>
      </c>
      <c r="B55" s="4" t="s">
        <v>300</v>
      </c>
      <c r="C55" s="4" t="s">
        <v>301</v>
      </c>
      <c r="D55" s="5" t="n">
        <v>0.05</v>
      </c>
      <c r="E55" s="5" t="n">
        <v>0.14</v>
      </c>
      <c r="F55" s="4" t="s">
        <v>296</v>
      </c>
      <c r="G55" s="4" t="s">
        <v>302</v>
      </c>
      <c r="H55" s="4" t="s">
        <v>290</v>
      </c>
      <c r="I55" s="4" t="s">
        <v>303</v>
      </c>
      <c r="J55" s="4" t="s">
        <v>292</v>
      </c>
      <c r="K55" s="4" t="s">
        <v>33</v>
      </c>
      <c r="L55" s="4" t="s">
        <v>35</v>
      </c>
      <c r="M55" s="4" t="s">
        <v>40</v>
      </c>
      <c r="N55" s="4" t="s">
        <v>57</v>
      </c>
      <c r="O55" s="6"/>
    </row>
    <row r="56" customFormat="false" ht="32.8" hidden="false" customHeight="false" outlineLevel="0" collapsed="false">
      <c r="A56" s="12" t="s">
        <v>286</v>
      </c>
      <c r="B56" s="7" t="s">
        <v>304</v>
      </c>
      <c r="C56" s="7" t="s">
        <v>305</v>
      </c>
      <c r="D56" s="6" t="n">
        <v>0.1</v>
      </c>
      <c r="E56" s="6" t="n">
        <v>0.5</v>
      </c>
      <c r="F56" s="7" t="s">
        <v>306</v>
      </c>
      <c r="G56" s="7" t="s">
        <v>302</v>
      </c>
      <c r="H56" s="7" t="s">
        <v>290</v>
      </c>
      <c r="I56" s="7" t="s">
        <v>307</v>
      </c>
      <c r="J56" s="7" t="s">
        <v>308</v>
      </c>
      <c r="K56" s="7" t="s">
        <v>33</v>
      </c>
      <c r="L56" s="7" t="s">
        <v>309</v>
      </c>
      <c r="M56" s="7" t="s">
        <v>310</v>
      </c>
      <c r="N56" s="7" t="s">
        <v>27</v>
      </c>
      <c r="O56" s="6"/>
    </row>
    <row r="57" customFormat="false" ht="32.8" hidden="false" customHeight="false" outlineLevel="0" collapsed="false">
      <c r="A57" s="12" t="s">
        <v>286</v>
      </c>
      <c r="B57" s="4" t="s">
        <v>311</v>
      </c>
      <c r="C57" s="4" t="s">
        <v>312</v>
      </c>
      <c r="D57" s="5" t="n">
        <v>0.1</v>
      </c>
      <c r="E57" s="5" t="n">
        <v>0.6</v>
      </c>
      <c r="F57" s="4" t="s">
        <v>313</v>
      </c>
      <c r="G57" s="4" t="s">
        <v>302</v>
      </c>
      <c r="H57" s="4" t="s">
        <v>290</v>
      </c>
      <c r="I57" s="4" t="s">
        <v>314</v>
      </c>
      <c r="J57" s="4" t="s">
        <v>315</v>
      </c>
      <c r="K57" s="4" t="s">
        <v>33</v>
      </c>
      <c r="L57" s="4" t="s">
        <v>316</v>
      </c>
      <c r="M57" s="4" t="s">
        <v>40</v>
      </c>
      <c r="N57" s="4" t="s">
        <v>27</v>
      </c>
      <c r="O57" s="6"/>
    </row>
    <row r="58" customFormat="false" ht="15" hidden="false" customHeight="false" outlineLevel="0" collapsed="false">
      <c r="A58" s="12" t="s">
        <v>286</v>
      </c>
      <c r="B58" s="7" t="s">
        <v>317</v>
      </c>
      <c r="C58" s="7" t="s">
        <v>137</v>
      </c>
      <c r="D58" s="6" t="n">
        <v>0.2</v>
      </c>
      <c r="E58" s="6" t="n">
        <v>1</v>
      </c>
      <c r="F58" s="7" t="s">
        <v>288</v>
      </c>
      <c r="G58" s="7" t="s">
        <v>302</v>
      </c>
      <c r="H58" s="7" t="s">
        <v>290</v>
      </c>
      <c r="I58" s="7" t="s">
        <v>318</v>
      </c>
      <c r="J58" s="7" t="s">
        <v>292</v>
      </c>
      <c r="K58" s="7" t="s">
        <v>33</v>
      </c>
      <c r="L58" s="7" t="s">
        <v>319</v>
      </c>
      <c r="M58" s="7" t="s">
        <v>40</v>
      </c>
      <c r="N58" s="7" t="s">
        <v>36</v>
      </c>
      <c r="O58" s="6"/>
    </row>
    <row r="59" customFormat="false" ht="22.35" hidden="false" customHeight="false" outlineLevel="0" collapsed="false">
      <c r="A59" s="12" t="s">
        <v>286</v>
      </c>
      <c r="B59" s="4" t="s">
        <v>320</v>
      </c>
      <c r="C59" s="4" t="s">
        <v>137</v>
      </c>
      <c r="D59" s="5" t="n">
        <v>0.1</v>
      </c>
      <c r="E59" s="5" t="n">
        <v>1</v>
      </c>
      <c r="F59" s="4" t="s">
        <v>321</v>
      </c>
      <c r="G59" s="4" t="s">
        <v>19</v>
      </c>
      <c r="H59" s="4" t="s">
        <v>21</v>
      </c>
      <c r="I59" s="4" t="s">
        <v>63</v>
      </c>
      <c r="J59" s="4" t="s">
        <v>292</v>
      </c>
      <c r="K59" s="4" t="s">
        <v>33</v>
      </c>
      <c r="L59" s="4" t="s">
        <v>322</v>
      </c>
      <c r="M59" s="4" t="s">
        <v>40</v>
      </c>
      <c r="N59" s="4" t="s">
        <v>27</v>
      </c>
      <c r="O59" s="6"/>
    </row>
    <row r="60" customFormat="false" ht="15" hidden="false" customHeight="false" outlineLevel="0" collapsed="false">
      <c r="A60" s="12" t="s">
        <v>286</v>
      </c>
      <c r="B60" s="7" t="s">
        <v>323</v>
      </c>
      <c r="C60" s="7" t="s">
        <v>324</v>
      </c>
      <c r="D60" s="6" t="n">
        <v>0.1</v>
      </c>
      <c r="E60" s="6" t="n">
        <v>0.3</v>
      </c>
      <c r="F60" s="7" t="s">
        <v>325</v>
      </c>
      <c r="G60" s="7" t="s">
        <v>19</v>
      </c>
      <c r="H60" s="7" t="s">
        <v>290</v>
      </c>
      <c r="I60" s="7" t="s">
        <v>326</v>
      </c>
      <c r="J60" s="7" t="s">
        <v>292</v>
      </c>
      <c r="K60" s="7" t="s">
        <v>33</v>
      </c>
      <c r="L60" s="7" t="s">
        <v>35</v>
      </c>
      <c r="M60" s="7" t="s">
        <v>40</v>
      </c>
      <c r="N60" s="7" t="s">
        <v>27</v>
      </c>
      <c r="O60" s="6"/>
    </row>
    <row r="61" customFormat="false" ht="22.35" hidden="false" customHeight="false" outlineLevel="0" collapsed="false">
      <c r="A61" s="12" t="s">
        <v>286</v>
      </c>
      <c r="B61" s="4" t="s">
        <v>327</v>
      </c>
      <c r="C61" s="4" t="s">
        <v>328</v>
      </c>
      <c r="D61" s="5" t="n">
        <v>0.001</v>
      </c>
      <c r="E61" s="5" t="n">
        <v>0.01</v>
      </c>
      <c r="F61" s="4" t="s">
        <v>329</v>
      </c>
      <c r="G61" s="4" t="s">
        <v>330</v>
      </c>
      <c r="H61" s="4" t="s">
        <v>331</v>
      </c>
      <c r="I61" s="4" t="s">
        <v>332</v>
      </c>
      <c r="J61" s="4" t="s">
        <v>292</v>
      </c>
      <c r="K61" s="4" t="s">
        <v>33</v>
      </c>
      <c r="L61" s="4" t="s">
        <v>35</v>
      </c>
      <c r="M61" s="4" t="s">
        <v>40</v>
      </c>
      <c r="N61" s="4" t="s">
        <v>114</v>
      </c>
      <c r="O61" s="6"/>
    </row>
    <row r="62" customFormat="false" ht="32.8" hidden="false" customHeight="false" outlineLevel="0" collapsed="false">
      <c r="A62" s="12" t="s">
        <v>286</v>
      </c>
      <c r="B62" s="7" t="s">
        <v>333</v>
      </c>
      <c r="C62" s="7" t="s">
        <v>312</v>
      </c>
      <c r="D62" s="6" t="n">
        <v>0.1</v>
      </c>
      <c r="E62" s="6" t="n">
        <v>0.6</v>
      </c>
      <c r="F62" s="7" t="s">
        <v>313</v>
      </c>
      <c r="G62" s="7" t="s">
        <v>19</v>
      </c>
      <c r="H62" s="7" t="s">
        <v>290</v>
      </c>
      <c r="I62" s="7" t="s">
        <v>63</v>
      </c>
      <c r="J62" s="7" t="s">
        <v>334</v>
      </c>
      <c r="K62" s="7" t="s">
        <v>33</v>
      </c>
      <c r="L62" s="7" t="s">
        <v>35</v>
      </c>
      <c r="M62" s="7" t="s">
        <v>40</v>
      </c>
      <c r="N62" s="7" t="s">
        <v>27</v>
      </c>
      <c r="O62" s="6"/>
    </row>
    <row r="63" customFormat="false" ht="22.35" hidden="false" customHeight="false" outlineLevel="0" collapsed="false">
      <c r="A63" s="13" t="s">
        <v>335</v>
      </c>
      <c r="B63" s="4" t="s">
        <v>336</v>
      </c>
      <c r="C63" s="4" t="s">
        <v>337</v>
      </c>
      <c r="D63" s="5" t="n">
        <v>1</v>
      </c>
      <c r="E63" s="5" t="n">
        <v>15</v>
      </c>
      <c r="F63" s="4" t="s">
        <v>19</v>
      </c>
      <c r="G63" s="4" t="s">
        <v>302</v>
      </c>
      <c r="H63" s="4" t="s">
        <v>125</v>
      </c>
      <c r="I63" s="4" t="s">
        <v>338</v>
      </c>
      <c r="J63" s="4" t="s">
        <v>174</v>
      </c>
      <c r="K63" s="4" t="s">
        <v>33</v>
      </c>
      <c r="L63" s="4" t="s">
        <v>339</v>
      </c>
      <c r="M63" s="4" t="s">
        <v>340</v>
      </c>
      <c r="N63" s="4" t="s">
        <v>143</v>
      </c>
      <c r="O63" s="6"/>
    </row>
    <row r="64" customFormat="false" ht="22.35" hidden="false" customHeight="false" outlineLevel="0" collapsed="false">
      <c r="A64" s="13" t="s">
        <v>335</v>
      </c>
      <c r="B64" s="7" t="s">
        <v>341</v>
      </c>
      <c r="C64" s="7" t="s">
        <v>342</v>
      </c>
      <c r="D64" s="6" t="n">
        <v>1</v>
      </c>
      <c r="E64" s="6" t="n">
        <v>15</v>
      </c>
      <c r="F64" s="7" t="s">
        <v>343</v>
      </c>
      <c r="G64" s="7" t="s">
        <v>302</v>
      </c>
      <c r="H64" s="7" t="s">
        <v>125</v>
      </c>
      <c r="I64" s="7" t="s">
        <v>344</v>
      </c>
      <c r="J64" s="7" t="s">
        <v>174</v>
      </c>
      <c r="K64" s="7" t="s">
        <v>33</v>
      </c>
      <c r="L64" s="7" t="s">
        <v>345</v>
      </c>
      <c r="M64" s="7" t="s">
        <v>346</v>
      </c>
      <c r="N64" s="7" t="s">
        <v>36</v>
      </c>
      <c r="O64" s="6"/>
    </row>
    <row r="65" customFormat="false" ht="22.35" hidden="false" customHeight="false" outlineLevel="0" collapsed="false">
      <c r="A65" s="13" t="s">
        <v>335</v>
      </c>
      <c r="B65" s="4" t="s">
        <v>347</v>
      </c>
      <c r="C65" s="4" t="s">
        <v>67</v>
      </c>
      <c r="D65" s="5" t="n">
        <v>1</v>
      </c>
      <c r="E65" s="5" t="n">
        <v>10</v>
      </c>
      <c r="F65" s="4" t="s">
        <v>348</v>
      </c>
      <c r="G65" s="4" t="s">
        <v>19</v>
      </c>
      <c r="H65" s="4" t="s">
        <v>21</v>
      </c>
      <c r="I65" s="4" t="s">
        <v>349</v>
      </c>
      <c r="J65" s="4" t="s">
        <v>44</v>
      </c>
      <c r="K65" s="4" t="s">
        <v>33</v>
      </c>
      <c r="L65" s="4" t="s">
        <v>350</v>
      </c>
      <c r="M65" s="4" t="s">
        <v>35</v>
      </c>
      <c r="N65" s="4" t="s">
        <v>36</v>
      </c>
      <c r="O65" s="6"/>
    </row>
    <row r="66" customFormat="false" ht="15" hidden="false" customHeight="false" outlineLevel="0" collapsed="false">
      <c r="A66" s="13" t="s">
        <v>335</v>
      </c>
      <c r="B66" s="7" t="s">
        <v>351</v>
      </c>
      <c r="C66" s="7" t="s">
        <v>48</v>
      </c>
      <c r="D66" s="6" t="n">
        <v>1</v>
      </c>
      <c r="E66" s="6" t="n">
        <v>5</v>
      </c>
      <c r="F66" s="7" t="s">
        <v>19</v>
      </c>
      <c r="G66" s="7" t="s">
        <v>19</v>
      </c>
      <c r="H66" s="7" t="s">
        <v>21</v>
      </c>
      <c r="I66" s="7" t="s">
        <v>63</v>
      </c>
      <c r="J66" s="7" t="s">
        <v>44</v>
      </c>
      <c r="K66" s="7" t="s">
        <v>33</v>
      </c>
      <c r="L66" s="7" t="s">
        <v>352</v>
      </c>
      <c r="M66" s="7" t="s">
        <v>40</v>
      </c>
      <c r="N66" s="7" t="s">
        <v>27</v>
      </c>
      <c r="O66" s="6"/>
    </row>
    <row r="67" customFormat="false" ht="15" hidden="false" customHeight="false" outlineLevel="0" collapsed="false">
      <c r="A67" s="13" t="s">
        <v>335</v>
      </c>
      <c r="B67" s="4" t="s">
        <v>353</v>
      </c>
      <c r="C67" s="4" t="s">
        <v>354</v>
      </c>
      <c r="D67" s="5" t="n">
        <v>1</v>
      </c>
      <c r="E67" s="5" t="n">
        <v>6</v>
      </c>
      <c r="F67" s="4" t="s">
        <v>19</v>
      </c>
      <c r="G67" s="4" t="s">
        <v>19</v>
      </c>
      <c r="H67" s="4" t="s">
        <v>21</v>
      </c>
      <c r="I67" s="4" t="s">
        <v>355</v>
      </c>
      <c r="J67" s="4" t="s">
        <v>82</v>
      </c>
      <c r="K67" s="4" t="s">
        <v>100</v>
      </c>
      <c r="L67" s="4" t="s">
        <v>101</v>
      </c>
      <c r="M67" s="4" t="s">
        <v>40</v>
      </c>
      <c r="N67" s="4" t="s">
        <v>27</v>
      </c>
      <c r="O67" s="6"/>
    </row>
    <row r="68" customFormat="false" ht="15" hidden="false" customHeight="false" outlineLevel="0" collapsed="false">
      <c r="A68" s="13" t="s">
        <v>335</v>
      </c>
      <c r="B68" s="7" t="s">
        <v>356</v>
      </c>
      <c r="C68" s="7" t="s">
        <v>357</v>
      </c>
      <c r="D68" s="6" t="n">
        <v>2</v>
      </c>
      <c r="E68" s="6" t="n">
        <v>6</v>
      </c>
      <c r="F68" s="7" t="s">
        <v>19</v>
      </c>
      <c r="G68" s="7" t="s">
        <v>19</v>
      </c>
      <c r="H68" s="7" t="s">
        <v>21</v>
      </c>
      <c r="I68" s="7" t="s">
        <v>63</v>
      </c>
      <c r="J68" s="7" t="s">
        <v>32</v>
      </c>
      <c r="K68" s="7" t="s">
        <v>33</v>
      </c>
      <c r="L68" s="7" t="s">
        <v>358</v>
      </c>
      <c r="M68" s="7" t="s">
        <v>40</v>
      </c>
      <c r="N68" s="7" t="s">
        <v>27</v>
      </c>
      <c r="O68" s="6"/>
    </row>
    <row r="69" customFormat="false" ht="22.35" hidden="false" customHeight="false" outlineLevel="0" collapsed="false">
      <c r="A69" s="13" t="s">
        <v>335</v>
      </c>
      <c r="B69" s="4" t="s">
        <v>359</v>
      </c>
      <c r="C69" s="4" t="s">
        <v>216</v>
      </c>
      <c r="D69" s="5" t="n">
        <v>0.5</v>
      </c>
      <c r="E69" s="5" t="n">
        <v>5</v>
      </c>
      <c r="F69" s="4" t="s">
        <v>19</v>
      </c>
      <c r="G69" s="4" t="s">
        <v>19</v>
      </c>
      <c r="H69" s="4" t="s">
        <v>21</v>
      </c>
      <c r="I69" s="4" t="s">
        <v>360</v>
      </c>
      <c r="J69" s="4" t="s">
        <v>82</v>
      </c>
      <c r="K69" s="4" t="s">
        <v>361</v>
      </c>
      <c r="L69" s="4" t="s">
        <v>362</v>
      </c>
      <c r="M69" s="4" t="s">
        <v>40</v>
      </c>
      <c r="N69" s="4" t="s">
        <v>36</v>
      </c>
      <c r="O69" s="6"/>
    </row>
    <row r="70" customFormat="false" ht="22.35" hidden="false" customHeight="false" outlineLevel="0" collapsed="false">
      <c r="A70" s="13" t="s">
        <v>335</v>
      </c>
      <c r="B70" s="7" t="s">
        <v>363</v>
      </c>
      <c r="C70" s="7" t="s">
        <v>48</v>
      </c>
      <c r="D70" s="6" t="n">
        <v>1</v>
      </c>
      <c r="E70" s="6" t="n">
        <v>5</v>
      </c>
      <c r="F70" s="7" t="s">
        <v>364</v>
      </c>
      <c r="G70" s="7" t="s">
        <v>19</v>
      </c>
      <c r="H70" s="7" t="s">
        <v>21</v>
      </c>
      <c r="I70" s="7" t="s">
        <v>365</v>
      </c>
      <c r="J70" s="7" t="s">
        <v>32</v>
      </c>
      <c r="K70" s="7" t="s">
        <v>33</v>
      </c>
      <c r="L70" s="7" t="s">
        <v>366</v>
      </c>
      <c r="M70" s="7" t="s">
        <v>40</v>
      </c>
      <c r="N70" s="7" t="s">
        <v>27</v>
      </c>
      <c r="O70" s="6"/>
    </row>
    <row r="71" customFormat="false" ht="22.35" hidden="false" customHeight="false" outlineLevel="0" collapsed="false">
      <c r="A71" s="13" t="s">
        <v>335</v>
      </c>
      <c r="B71" s="4" t="s">
        <v>367</v>
      </c>
      <c r="C71" s="4" t="s">
        <v>368</v>
      </c>
      <c r="D71" s="5" t="n">
        <v>0.2</v>
      </c>
      <c r="E71" s="5" t="n">
        <v>1</v>
      </c>
      <c r="F71" s="4" t="s">
        <v>19</v>
      </c>
      <c r="G71" s="4" t="s">
        <v>19</v>
      </c>
      <c r="H71" s="4" t="s">
        <v>21</v>
      </c>
      <c r="I71" s="4" t="s">
        <v>63</v>
      </c>
      <c r="J71" s="4" t="s">
        <v>369</v>
      </c>
      <c r="K71" s="4" t="s">
        <v>370</v>
      </c>
      <c r="L71" s="4" t="s">
        <v>371</v>
      </c>
      <c r="M71" s="4" t="s">
        <v>372</v>
      </c>
      <c r="N71" s="4" t="s">
        <v>27</v>
      </c>
      <c r="O71" s="6"/>
    </row>
    <row r="72" customFormat="false" ht="22.35" hidden="false" customHeight="false" outlineLevel="0" collapsed="false">
      <c r="A72" s="13" t="s">
        <v>335</v>
      </c>
      <c r="B72" s="7" t="s">
        <v>373</v>
      </c>
      <c r="C72" s="7" t="s">
        <v>368</v>
      </c>
      <c r="D72" s="6" t="n">
        <v>0.2</v>
      </c>
      <c r="E72" s="6" t="n">
        <v>1</v>
      </c>
      <c r="F72" s="7" t="s">
        <v>19</v>
      </c>
      <c r="G72" s="7" t="s">
        <v>19</v>
      </c>
      <c r="H72" s="7" t="s">
        <v>21</v>
      </c>
      <c r="I72" s="7" t="s">
        <v>374</v>
      </c>
      <c r="J72" s="7" t="s">
        <v>375</v>
      </c>
      <c r="K72" s="7" t="s">
        <v>33</v>
      </c>
      <c r="L72" s="7" t="s">
        <v>376</v>
      </c>
      <c r="M72" s="7" t="s">
        <v>377</v>
      </c>
      <c r="N72" s="7" t="s">
        <v>27</v>
      </c>
      <c r="O72" s="6"/>
    </row>
    <row r="73" customFormat="false" ht="22.35" hidden="false" customHeight="false" outlineLevel="0" collapsed="false">
      <c r="A73" s="14" t="s">
        <v>378</v>
      </c>
      <c r="B73" s="4" t="s">
        <v>379</v>
      </c>
      <c r="C73" s="4" t="s">
        <v>212</v>
      </c>
      <c r="D73" s="5" t="n">
        <v>0.5</v>
      </c>
      <c r="E73" s="5" t="n">
        <v>1</v>
      </c>
      <c r="F73" s="4" t="s">
        <v>19</v>
      </c>
      <c r="G73" s="4" t="s">
        <v>19</v>
      </c>
      <c r="H73" s="4" t="s">
        <v>21</v>
      </c>
      <c r="I73" s="4" t="s">
        <v>380</v>
      </c>
      <c r="J73" s="4" t="s">
        <v>82</v>
      </c>
      <c r="K73" s="4" t="s">
        <v>218</v>
      </c>
      <c r="L73" s="4" t="s">
        <v>381</v>
      </c>
      <c r="M73" s="4" t="s">
        <v>40</v>
      </c>
      <c r="N73" s="4" t="s">
        <v>27</v>
      </c>
      <c r="O73" s="6"/>
    </row>
    <row r="74" customFormat="false" ht="15" hidden="false" customHeight="false" outlineLevel="0" collapsed="false">
      <c r="A74" s="14" t="s">
        <v>378</v>
      </c>
      <c r="B74" s="7" t="s">
        <v>382</v>
      </c>
      <c r="C74" s="7" t="s">
        <v>48</v>
      </c>
      <c r="D74" s="6" t="n">
        <v>1</v>
      </c>
      <c r="E74" s="6" t="n">
        <v>5</v>
      </c>
      <c r="F74" s="7" t="s">
        <v>19</v>
      </c>
      <c r="G74" s="7" t="s">
        <v>19</v>
      </c>
      <c r="H74" s="7" t="s">
        <v>21</v>
      </c>
      <c r="I74" s="7" t="s">
        <v>63</v>
      </c>
      <c r="J74" s="7" t="s">
        <v>69</v>
      </c>
      <c r="K74" s="7" t="s">
        <v>218</v>
      </c>
      <c r="L74" s="7" t="s">
        <v>383</v>
      </c>
      <c r="M74" s="7" t="s">
        <v>40</v>
      </c>
      <c r="N74" s="7" t="s">
        <v>27</v>
      </c>
      <c r="O74" s="6"/>
    </row>
    <row r="75" customFormat="false" ht="15" hidden="false" customHeight="false" outlineLevel="0" collapsed="false">
      <c r="A75" s="14" t="s">
        <v>378</v>
      </c>
      <c r="B75" s="4" t="s">
        <v>384</v>
      </c>
      <c r="C75" s="4" t="s">
        <v>183</v>
      </c>
      <c r="D75" s="5" t="n">
        <v>0.1</v>
      </c>
      <c r="E75" s="5" t="n">
        <v>1</v>
      </c>
      <c r="F75" s="4" t="s">
        <v>19</v>
      </c>
      <c r="G75" s="4" t="s">
        <v>19</v>
      </c>
      <c r="H75" s="4" t="s">
        <v>21</v>
      </c>
      <c r="I75" s="4" t="s">
        <v>63</v>
      </c>
      <c r="J75" s="4" t="s">
        <v>69</v>
      </c>
      <c r="K75" s="4" t="s">
        <v>385</v>
      </c>
      <c r="L75" s="4" t="s">
        <v>35</v>
      </c>
      <c r="M75" s="4" t="s">
        <v>40</v>
      </c>
      <c r="N75" s="4" t="s">
        <v>27</v>
      </c>
      <c r="O75" s="6"/>
    </row>
    <row r="76" customFormat="false" ht="15" hidden="false" customHeight="false" outlineLevel="0" collapsed="false">
      <c r="A76" s="14" t="s">
        <v>378</v>
      </c>
      <c r="B76" s="7" t="s">
        <v>386</v>
      </c>
      <c r="C76" s="7" t="s">
        <v>387</v>
      </c>
      <c r="D76" s="6" t="n">
        <v>0.05</v>
      </c>
      <c r="E76" s="6" t="n">
        <v>0.5</v>
      </c>
      <c r="F76" s="7" t="s">
        <v>19</v>
      </c>
      <c r="G76" s="7" t="s">
        <v>19</v>
      </c>
      <c r="H76" s="7" t="s">
        <v>21</v>
      </c>
      <c r="I76" s="7" t="s">
        <v>388</v>
      </c>
      <c r="J76" s="7" t="s">
        <v>82</v>
      </c>
      <c r="K76" s="7" t="s">
        <v>389</v>
      </c>
      <c r="L76" s="7" t="s">
        <v>35</v>
      </c>
      <c r="M76" s="7" t="s">
        <v>40</v>
      </c>
      <c r="N76" s="7" t="s">
        <v>27</v>
      </c>
      <c r="O76" s="6"/>
    </row>
    <row r="77" customFormat="false" ht="15" hidden="false" customHeight="false" outlineLevel="0" collapsed="false">
      <c r="A77" s="14" t="s">
        <v>378</v>
      </c>
      <c r="B77" s="4" t="s">
        <v>390</v>
      </c>
      <c r="C77" s="4" t="s">
        <v>212</v>
      </c>
      <c r="D77" s="5" t="n">
        <v>0.5</v>
      </c>
      <c r="E77" s="5" t="n">
        <v>1</v>
      </c>
      <c r="F77" s="4" t="s">
        <v>19</v>
      </c>
      <c r="G77" s="4" t="s">
        <v>19</v>
      </c>
      <c r="H77" s="4" t="s">
        <v>21</v>
      </c>
      <c r="I77" s="4" t="s">
        <v>391</v>
      </c>
      <c r="J77" s="4" t="s">
        <v>201</v>
      </c>
      <c r="K77" s="4" t="s">
        <v>33</v>
      </c>
      <c r="L77" s="4" t="s">
        <v>35</v>
      </c>
      <c r="M77" s="4" t="s">
        <v>40</v>
      </c>
      <c r="N77" s="4" t="s">
        <v>57</v>
      </c>
      <c r="O77" s="6"/>
    </row>
    <row r="78" customFormat="false" ht="15" hidden="false" customHeight="false" outlineLevel="0" collapsed="false">
      <c r="A78" s="14" t="s">
        <v>378</v>
      </c>
      <c r="B78" s="7" t="s">
        <v>392</v>
      </c>
      <c r="C78" s="7" t="s">
        <v>216</v>
      </c>
      <c r="D78" s="6" t="n">
        <v>0.5</v>
      </c>
      <c r="E78" s="6" t="n">
        <v>5</v>
      </c>
      <c r="F78" s="7" t="s">
        <v>19</v>
      </c>
      <c r="G78" s="7" t="s">
        <v>19</v>
      </c>
      <c r="H78" s="7" t="s">
        <v>21</v>
      </c>
      <c r="I78" s="7" t="s">
        <v>63</v>
      </c>
      <c r="J78" s="7" t="s">
        <v>69</v>
      </c>
      <c r="K78" s="7" t="s">
        <v>76</v>
      </c>
      <c r="L78" s="7" t="s">
        <v>35</v>
      </c>
      <c r="M78" s="7" t="s">
        <v>40</v>
      </c>
      <c r="N78" s="7" t="s">
        <v>27</v>
      </c>
      <c r="O78" s="6"/>
    </row>
    <row r="79" customFormat="false" ht="22.35" hidden="false" customHeight="false" outlineLevel="0" collapsed="false">
      <c r="A79" s="14" t="s">
        <v>378</v>
      </c>
      <c r="B79" s="4" t="s">
        <v>393</v>
      </c>
      <c r="C79" s="4" t="s">
        <v>62</v>
      </c>
      <c r="D79" s="5" t="n">
        <v>0.5</v>
      </c>
      <c r="E79" s="5" t="n">
        <v>5</v>
      </c>
      <c r="F79" s="4" t="s">
        <v>394</v>
      </c>
      <c r="G79" s="4" t="s">
        <v>19</v>
      </c>
      <c r="H79" s="4" t="s">
        <v>21</v>
      </c>
      <c r="I79" s="4" t="s">
        <v>395</v>
      </c>
      <c r="J79" s="4" t="s">
        <v>44</v>
      </c>
      <c r="K79" s="4" t="s">
        <v>33</v>
      </c>
      <c r="L79" s="4" t="s">
        <v>396</v>
      </c>
      <c r="M79" s="4" t="s">
        <v>40</v>
      </c>
      <c r="N79" s="4" t="s">
        <v>27</v>
      </c>
      <c r="O79" s="6"/>
    </row>
    <row r="80" customFormat="false" ht="22.35" hidden="false" customHeight="false" outlineLevel="0" collapsed="false">
      <c r="A80" s="14" t="s">
        <v>378</v>
      </c>
      <c r="B80" s="7" t="s">
        <v>397</v>
      </c>
      <c r="C80" s="7" t="s">
        <v>398</v>
      </c>
      <c r="D80" s="6" t="n">
        <v>0.01</v>
      </c>
      <c r="E80" s="6" t="n">
        <v>0.1</v>
      </c>
      <c r="F80" s="7" t="s">
        <v>399</v>
      </c>
      <c r="G80" s="7" t="s">
        <v>400</v>
      </c>
      <c r="H80" s="7" t="s">
        <v>53</v>
      </c>
      <c r="I80" s="7" t="s">
        <v>401</v>
      </c>
      <c r="J80" s="7" t="s">
        <v>82</v>
      </c>
      <c r="K80" s="7" t="s">
        <v>33</v>
      </c>
      <c r="L80" s="7" t="s">
        <v>402</v>
      </c>
      <c r="M80" s="7" t="s">
        <v>40</v>
      </c>
      <c r="N80" s="7" t="s">
        <v>57</v>
      </c>
      <c r="O80" s="6"/>
    </row>
    <row r="81" customFormat="false" ht="15" hidden="false" customHeight="false" outlineLevel="0" collapsed="false">
      <c r="A81" s="14" t="s">
        <v>378</v>
      </c>
      <c r="B81" s="4" t="s">
        <v>403</v>
      </c>
      <c r="C81" s="4" t="s">
        <v>183</v>
      </c>
      <c r="D81" s="5" t="n">
        <v>0.1</v>
      </c>
      <c r="E81" s="5" t="n">
        <v>1</v>
      </c>
      <c r="F81" s="4" t="s">
        <v>19</v>
      </c>
      <c r="G81" s="4" t="s">
        <v>19</v>
      </c>
      <c r="H81" s="4" t="s">
        <v>21</v>
      </c>
      <c r="I81" s="4" t="s">
        <v>63</v>
      </c>
      <c r="J81" s="4" t="s">
        <v>82</v>
      </c>
      <c r="K81" s="4" t="s">
        <v>404</v>
      </c>
      <c r="L81" s="4" t="s">
        <v>405</v>
      </c>
      <c r="M81" s="4" t="s">
        <v>40</v>
      </c>
      <c r="N81" s="4" t="s">
        <v>27</v>
      </c>
      <c r="O81" s="6"/>
    </row>
    <row r="82" customFormat="false" ht="15" hidden="false" customHeight="false" outlineLevel="0" collapsed="false">
      <c r="A82" s="14" t="s">
        <v>378</v>
      </c>
      <c r="B82" s="7" t="s">
        <v>406</v>
      </c>
      <c r="C82" s="7" t="s">
        <v>407</v>
      </c>
      <c r="D82" s="6" t="n">
        <v>0.05</v>
      </c>
      <c r="E82" s="6" t="n">
        <v>0.2</v>
      </c>
      <c r="F82" s="7" t="s">
        <v>408</v>
      </c>
      <c r="G82" s="7" t="s">
        <v>409</v>
      </c>
      <c r="H82" s="7" t="s">
        <v>53</v>
      </c>
      <c r="I82" s="7" t="s">
        <v>410</v>
      </c>
      <c r="J82" s="7" t="s">
        <v>69</v>
      </c>
      <c r="K82" s="7" t="s">
        <v>33</v>
      </c>
      <c r="L82" s="7" t="s">
        <v>411</v>
      </c>
      <c r="M82" s="7" t="s">
        <v>35</v>
      </c>
      <c r="N82" s="7" t="s">
        <v>143</v>
      </c>
      <c r="O82" s="6"/>
    </row>
    <row r="83" customFormat="false" ht="22.35" hidden="false" customHeight="false" outlineLevel="0" collapsed="false">
      <c r="A83" s="15" t="s">
        <v>412</v>
      </c>
      <c r="B83" s="4" t="s">
        <v>413</v>
      </c>
      <c r="C83" s="4" t="s">
        <v>414</v>
      </c>
      <c r="D83" s="5" t="n">
        <v>5</v>
      </c>
      <c r="E83" s="5" t="n">
        <v>25</v>
      </c>
      <c r="F83" s="4" t="s">
        <v>415</v>
      </c>
      <c r="G83" s="4" t="s">
        <v>416</v>
      </c>
      <c r="H83" s="4" t="s">
        <v>417</v>
      </c>
      <c r="I83" s="4" t="s">
        <v>418</v>
      </c>
      <c r="J83" s="4" t="s">
        <v>82</v>
      </c>
      <c r="K83" s="4" t="s">
        <v>33</v>
      </c>
      <c r="L83" s="4" t="s">
        <v>419</v>
      </c>
      <c r="M83" s="4" t="s">
        <v>40</v>
      </c>
      <c r="N83" s="4" t="s">
        <v>27</v>
      </c>
      <c r="O83" s="6"/>
    </row>
    <row r="84" customFormat="false" ht="22.35" hidden="false" customHeight="false" outlineLevel="0" collapsed="false">
      <c r="A84" s="15" t="s">
        <v>412</v>
      </c>
      <c r="B84" s="7" t="s">
        <v>420</v>
      </c>
      <c r="C84" s="7" t="s">
        <v>414</v>
      </c>
      <c r="D84" s="6" t="n">
        <v>5</v>
      </c>
      <c r="E84" s="6" t="n">
        <v>25</v>
      </c>
      <c r="F84" s="7" t="s">
        <v>415</v>
      </c>
      <c r="G84" s="7" t="s">
        <v>416</v>
      </c>
      <c r="H84" s="7" t="s">
        <v>417</v>
      </c>
      <c r="I84" s="7" t="s">
        <v>421</v>
      </c>
      <c r="J84" s="7" t="s">
        <v>82</v>
      </c>
      <c r="K84" s="7" t="s">
        <v>33</v>
      </c>
      <c r="L84" s="7" t="s">
        <v>422</v>
      </c>
      <c r="M84" s="7" t="s">
        <v>40</v>
      </c>
      <c r="N84" s="7" t="s">
        <v>27</v>
      </c>
      <c r="O84" s="6"/>
    </row>
    <row r="85" customFormat="false" ht="22.35" hidden="false" customHeight="false" outlineLevel="0" collapsed="false">
      <c r="A85" s="15" t="s">
        <v>412</v>
      </c>
      <c r="B85" s="4" t="s">
        <v>423</v>
      </c>
      <c r="C85" s="4" t="s">
        <v>62</v>
      </c>
      <c r="D85" s="5" t="n">
        <v>1</v>
      </c>
      <c r="E85" s="5" t="n">
        <v>5</v>
      </c>
      <c r="F85" s="4" t="s">
        <v>424</v>
      </c>
      <c r="G85" s="4" t="s">
        <v>425</v>
      </c>
      <c r="H85" s="4" t="s">
        <v>417</v>
      </c>
      <c r="I85" s="4" t="s">
        <v>426</v>
      </c>
      <c r="J85" s="4" t="s">
        <v>82</v>
      </c>
      <c r="K85" s="4" t="s">
        <v>427</v>
      </c>
      <c r="L85" s="4" t="s">
        <v>428</v>
      </c>
      <c r="M85" s="4" t="s">
        <v>429</v>
      </c>
      <c r="N85" s="4" t="s">
        <v>57</v>
      </c>
      <c r="O85" s="6"/>
    </row>
    <row r="86" customFormat="false" ht="22.35" hidden="false" customHeight="false" outlineLevel="0" collapsed="false">
      <c r="A86" s="15" t="s">
        <v>412</v>
      </c>
      <c r="B86" s="7" t="s">
        <v>430</v>
      </c>
      <c r="C86" s="7" t="s">
        <v>124</v>
      </c>
      <c r="D86" s="6" t="n">
        <v>1</v>
      </c>
      <c r="E86" s="6" t="n">
        <v>10</v>
      </c>
      <c r="F86" s="7" t="s">
        <v>431</v>
      </c>
      <c r="G86" s="7" t="s">
        <v>432</v>
      </c>
      <c r="H86" s="7" t="s">
        <v>417</v>
      </c>
      <c r="I86" s="7" t="s">
        <v>433</v>
      </c>
      <c r="J86" s="7" t="s">
        <v>82</v>
      </c>
      <c r="K86" s="7" t="s">
        <v>33</v>
      </c>
      <c r="L86" s="7" t="s">
        <v>434</v>
      </c>
      <c r="M86" s="7" t="s">
        <v>40</v>
      </c>
      <c r="N86" s="7" t="s">
        <v>36</v>
      </c>
      <c r="O86" s="6"/>
    </row>
    <row r="87" customFormat="false" ht="22.35" hidden="false" customHeight="false" outlineLevel="0" collapsed="false">
      <c r="A87" s="15" t="s">
        <v>412</v>
      </c>
      <c r="B87" s="4" t="s">
        <v>435</v>
      </c>
      <c r="C87" s="4" t="s">
        <v>436</v>
      </c>
      <c r="D87" s="5" t="n">
        <v>1</v>
      </c>
      <c r="E87" s="5" t="n">
        <v>10</v>
      </c>
      <c r="F87" s="4" t="s">
        <v>431</v>
      </c>
      <c r="G87" s="4" t="s">
        <v>437</v>
      </c>
      <c r="H87" s="4" t="s">
        <v>417</v>
      </c>
      <c r="I87" s="4" t="s">
        <v>438</v>
      </c>
      <c r="J87" s="4" t="s">
        <v>82</v>
      </c>
      <c r="K87" s="4" t="s">
        <v>439</v>
      </c>
      <c r="L87" s="4" t="s">
        <v>440</v>
      </c>
      <c r="M87" s="4" t="s">
        <v>441</v>
      </c>
      <c r="N87" s="4" t="s">
        <v>36</v>
      </c>
      <c r="O87" s="6"/>
    </row>
    <row r="88" customFormat="false" ht="32.8" hidden="false" customHeight="false" outlineLevel="0" collapsed="false">
      <c r="A88" s="15" t="s">
        <v>412</v>
      </c>
      <c r="B88" s="7" t="s">
        <v>442</v>
      </c>
      <c r="C88" s="7" t="s">
        <v>443</v>
      </c>
      <c r="D88" s="6" t="n">
        <v>1</v>
      </c>
      <c r="E88" s="6" t="n">
        <v>10</v>
      </c>
      <c r="F88" s="7" t="s">
        <v>444</v>
      </c>
      <c r="G88" s="7" t="s">
        <v>445</v>
      </c>
      <c r="H88" s="7" t="s">
        <v>417</v>
      </c>
      <c r="I88" s="7" t="s">
        <v>446</v>
      </c>
      <c r="J88" s="7" t="s">
        <v>82</v>
      </c>
      <c r="K88" s="7" t="s">
        <v>33</v>
      </c>
      <c r="L88" s="7" t="s">
        <v>35</v>
      </c>
      <c r="M88" s="7" t="s">
        <v>40</v>
      </c>
      <c r="N88" s="7" t="s">
        <v>27</v>
      </c>
      <c r="O88" s="6"/>
    </row>
    <row r="89" customFormat="false" ht="22.35" hidden="false" customHeight="false" outlineLevel="0" collapsed="false">
      <c r="A89" s="15" t="s">
        <v>412</v>
      </c>
      <c r="B89" s="4" t="s">
        <v>447</v>
      </c>
      <c r="C89" s="4" t="s">
        <v>62</v>
      </c>
      <c r="D89" s="5" t="n">
        <v>1</v>
      </c>
      <c r="E89" s="5" t="n">
        <v>5</v>
      </c>
      <c r="F89" s="4" t="s">
        <v>424</v>
      </c>
      <c r="G89" s="4" t="s">
        <v>448</v>
      </c>
      <c r="H89" s="4" t="s">
        <v>417</v>
      </c>
      <c r="I89" s="4" t="s">
        <v>63</v>
      </c>
      <c r="J89" s="4" t="s">
        <v>82</v>
      </c>
      <c r="K89" s="4" t="s">
        <v>33</v>
      </c>
      <c r="L89" s="4" t="s">
        <v>449</v>
      </c>
      <c r="M89" s="4" t="s">
        <v>40</v>
      </c>
      <c r="N89" s="4" t="s">
        <v>27</v>
      </c>
      <c r="O89" s="6"/>
    </row>
    <row r="90" customFormat="false" ht="15" hidden="false" customHeight="false" outlineLevel="0" collapsed="false">
      <c r="A90" s="15" t="s">
        <v>412</v>
      </c>
      <c r="B90" s="7" t="s">
        <v>450</v>
      </c>
      <c r="C90" s="7" t="s">
        <v>124</v>
      </c>
      <c r="D90" s="6" t="n">
        <v>1</v>
      </c>
      <c r="E90" s="6" t="n">
        <v>10</v>
      </c>
      <c r="F90" s="7" t="s">
        <v>431</v>
      </c>
      <c r="G90" s="7" t="s">
        <v>451</v>
      </c>
      <c r="H90" s="7" t="s">
        <v>452</v>
      </c>
      <c r="I90" s="7" t="s">
        <v>453</v>
      </c>
      <c r="J90" s="7" t="s">
        <v>82</v>
      </c>
      <c r="K90" s="7" t="s">
        <v>96</v>
      </c>
      <c r="L90" s="7" t="s">
        <v>434</v>
      </c>
      <c r="M90" s="7" t="s">
        <v>40</v>
      </c>
      <c r="N90" s="7" t="s">
        <v>27</v>
      </c>
      <c r="O90" s="6"/>
    </row>
    <row r="91" customFormat="false" ht="15" hidden="false" customHeight="false" outlineLevel="0" collapsed="false">
      <c r="A91" s="15" t="s">
        <v>412</v>
      </c>
      <c r="B91" s="4" t="s">
        <v>454</v>
      </c>
      <c r="C91" s="4" t="s">
        <v>124</v>
      </c>
      <c r="D91" s="5" t="n">
        <v>1</v>
      </c>
      <c r="E91" s="5" t="n">
        <v>10</v>
      </c>
      <c r="F91" s="4" t="s">
        <v>431</v>
      </c>
      <c r="G91" s="4" t="s">
        <v>451</v>
      </c>
      <c r="H91" s="4" t="s">
        <v>452</v>
      </c>
      <c r="I91" s="4" t="s">
        <v>26</v>
      </c>
      <c r="J91" s="4" t="s">
        <v>82</v>
      </c>
      <c r="K91" s="4" t="s">
        <v>33</v>
      </c>
      <c r="L91" s="4" t="s">
        <v>35</v>
      </c>
      <c r="M91" s="4" t="s">
        <v>40</v>
      </c>
      <c r="N91" s="4" t="s">
        <v>27</v>
      </c>
      <c r="O91" s="6"/>
    </row>
    <row r="92" customFormat="false" ht="22.35" hidden="false" customHeight="false" outlineLevel="0" collapsed="false">
      <c r="A92" s="15" t="s">
        <v>412</v>
      </c>
      <c r="B92" s="7" t="s">
        <v>455</v>
      </c>
      <c r="C92" s="7" t="s">
        <v>124</v>
      </c>
      <c r="D92" s="6" t="n">
        <v>1</v>
      </c>
      <c r="E92" s="6" t="n">
        <v>10</v>
      </c>
      <c r="F92" s="7" t="s">
        <v>431</v>
      </c>
      <c r="G92" s="7" t="s">
        <v>456</v>
      </c>
      <c r="H92" s="7" t="s">
        <v>457</v>
      </c>
      <c r="I92" s="7" t="s">
        <v>458</v>
      </c>
      <c r="J92" s="7" t="s">
        <v>82</v>
      </c>
      <c r="K92" s="7" t="s">
        <v>459</v>
      </c>
      <c r="L92" s="7" t="s">
        <v>35</v>
      </c>
      <c r="M92" s="7" t="s">
        <v>40</v>
      </c>
      <c r="N92" s="7" t="s">
        <v>27</v>
      </c>
      <c r="O92" s="6"/>
    </row>
    <row r="93" customFormat="false" ht="22.35" hidden="false" customHeight="false" outlineLevel="0" collapsed="false">
      <c r="A93" s="16" t="s">
        <v>460</v>
      </c>
      <c r="B93" s="4" t="s">
        <v>461</v>
      </c>
      <c r="C93" s="4" t="s">
        <v>67</v>
      </c>
      <c r="D93" s="5" t="n">
        <v>1</v>
      </c>
      <c r="E93" s="5" t="n">
        <v>10</v>
      </c>
      <c r="F93" s="4" t="s">
        <v>282</v>
      </c>
      <c r="G93" s="4" t="s">
        <v>19</v>
      </c>
      <c r="H93" s="4" t="s">
        <v>462</v>
      </c>
      <c r="I93" s="4" t="s">
        <v>463</v>
      </c>
      <c r="J93" s="4" t="s">
        <v>82</v>
      </c>
      <c r="K93" s="4" t="s">
        <v>464</v>
      </c>
      <c r="L93" s="4" t="s">
        <v>465</v>
      </c>
      <c r="M93" s="4" t="s">
        <v>35</v>
      </c>
      <c r="N93" s="4" t="s">
        <v>114</v>
      </c>
      <c r="O93" s="6"/>
    </row>
    <row r="94" customFormat="false" ht="22.35" hidden="false" customHeight="false" outlineLevel="0" collapsed="false">
      <c r="A94" s="16" t="s">
        <v>460</v>
      </c>
      <c r="B94" s="7" t="s">
        <v>466</v>
      </c>
      <c r="C94" s="7" t="s">
        <v>216</v>
      </c>
      <c r="D94" s="6" t="n">
        <v>0.5</v>
      </c>
      <c r="E94" s="6" t="n">
        <v>5</v>
      </c>
      <c r="F94" s="7" t="s">
        <v>467</v>
      </c>
      <c r="G94" s="7" t="s">
        <v>19</v>
      </c>
      <c r="H94" s="7" t="s">
        <v>53</v>
      </c>
      <c r="I94" s="7" t="s">
        <v>468</v>
      </c>
      <c r="J94" s="7" t="s">
        <v>82</v>
      </c>
      <c r="K94" s="7" t="s">
        <v>469</v>
      </c>
      <c r="L94" s="7" t="s">
        <v>35</v>
      </c>
      <c r="M94" s="7" t="s">
        <v>40</v>
      </c>
      <c r="N94" s="7" t="s">
        <v>36</v>
      </c>
      <c r="O94" s="6"/>
    </row>
    <row r="95" customFormat="false" ht="22.35" hidden="false" customHeight="false" outlineLevel="0" collapsed="false">
      <c r="A95" s="16" t="s">
        <v>460</v>
      </c>
      <c r="B95" s="4" t="s">
        <v>470</v>
      </c>
      <c r="C95" s="4" t="s">
        <v>42</v>
      </c>
      <c r="D95" s="5" t="n">
        <v>0.1</v>
      </c>
      <c r="E95" s="5" t="n">
        <v>2</v>
      </c>
      <c r="F95" s="4" t="s">
        <v>471</v>
      </c>
      <c r="G95" s="4" t="s">
        <v>19</v>
      </c>
      <c r="H95" s="4" t="s">
        <v>53</v>
      </c>
      <c r="I95" s="4" t="s">
        <v>472</v>
      </c>
      <c r="J95" s="4" t="s">
        <v>82</v>
      </c>
      <c r="K95" s="4" t="s">
        <v>473</v>
      </c>
      <c r="L95" s="4" t="s">
        <v>474</v>
      </c>
      <c r="M95" s="4" t="s">
        <v>40</v>
      </c>
      <c r="N95" s="4" t="s">
        <v>36</v>
      </c>
      <c r="O95" s="6"/>
    </row>
    <row r="96" customFormat="false" ht="22.35" hidden="false" customHeight="false" outlineLevel="0" collapsed="false">
      <c r="A96" s="16" t="s">
        <v>460</v>
      </c>
      <c r="B96" s="7" t="s">
        <v>475</v>
      </c>
      <c r="C96" s="7" t="s">
        <v>42</v>
      </c>
      <c r="D96" s="6" t="n">
        <v>0.1</v>
      </c>
      <c r="E96" s="6" t="n">
        <v>2</v>
      </c>
      <c r="F96" s="7" t="s">
        <v>476</v>
      </c>
      <c r="G96" s="7" t="s">
        <v>19</v>
      </c>
      <c r="H96" s="7" t="s">
        <v>53</v>
      </c>
      <c r="I96" s="7" t="s">
        <v>477</v>
      </c>
      <c r="J96" s="7" t="s">
        <v>82</v>
      </c>
      <c r="K96" s="7" t="s">
        <v>478</v>
      </c>
      <c r="L96" s="7" t="s">
        <v>479</v>
      </c>
      <c r="M96" s="7" t="s">
        <v>40</v>
      </c>
      <c r="N96" s="7" t="s">
        <v>114</v>
      </c>
      <c r="O96" s="6"/>
    </row>
    <row r="97" customFormat="false" ht="22.35" hidden="false" customHeight="false" outlineLevel="0" collapsed="false">
      <c r="A97" s="16" t="s">
        <v>460</v>
      </c>
      <c r="B97" s="4" t="s">
        <v>480</v>
      </c>
      <c r="C97" s="4" t="s">
        <v>42</v>
      </c>
      <c r="D97" s="5" t="n">
        <v>0.1</v>
      </c>
      <c r="E97" s="5" t="n">
        <v>2</v>
      </c>
      <c r="F97" s="4" t="s">
        <v>481</v>
      </c>
      <c r="G97" s="4" t="s">
        <v>19</v>
      </c>
      <c r="H97" s="4" t="s">
        <v>53</v>
      </c>
      <c r="I97" s="4" t="s">
        <v>482</v>
      </c>
      <c r="J97" s="4" t="s">
        <v>82</v>
      </c>
      <c r="K97" s="4" t="s">
        <v>483</v>
      </c>
      <c r="L97" s="4" t="s">
        <v>35</v>
      </c>
      <c r="M97" s="4" t="s">
        <v>40</v>
      </c>
      <c r="N97" s="4" t="s">
        <v>36</v>
      </c>
      <c r="O97" s="6"/>
    </row>
    <row r="98" customFormat="false" ht="22.35" hidden="false" customHeight="false" outlineLevel="0" collapsed="false">
      <c r="A98" s="16" t="s">
        <v>460</v>
      </c>
      <c r="B98" s="7" t="s">
        <v>484</v>
      </c>
      <c r="C98" s="7" t="s">
        <v>183</v>
      </c>
      <c r="D98" s="6" t="n">
        <v>0.1</v>
      </c>
      <c r="E98" s="6" t="n">
        <v>1</v>
      </c>
      <c r="F98" s="7" t="s">
        <v>485</v>
      </c>
      <c r="G98" s="7" t="s">
        <v>19</v>
      </c>
      <c r="H98" s="7" t="s">
        <v>53</v>
      </c>
      <c r="I98" s="7" t="s">
        <v>486</v>
      </c>
      <c r="J98" s="7" t="s">
        <v>82</v>
      </c>
      <c r="K98" s="7" t="s">
        <v>487</v>
      </c>
      <c r="L98" s="7" t="s">
        <v>35</v>
      </c>
      <c r="M98" s="7" t="s">
        <v>40</v>
      </c>
      <c r="N98" s="7" t="s">
        <v>36</v>
      </c>
      <c r="O98" s="6"/>
    </row>
    <row r="99" customFormat="false" ht="22.35" hidden="false" customHeight="false" outlineLevel="0" collapsed="false">
      <c r="A99" s="16" t="s">
        <v>460</v>
      </c>
      <c r="B99" s="4" t="s">
        <v>488</v>
      </c>
      <c r="C99" s="4" t="s">
        <v>183</v>
      </c>
      <c r="D99" s="5" t="n">
        <v>0.1</v>
      </c>
      <c r="E99" s="5" t="n">
        <v>1</v>
      </c>
      <c r="F99" s="4" t="s">
        <v>489</v>
      </c>
      <c r="G99" s="4" t="s">
        <v>19</v>
      </c>
      <c r="H99" s="4" t="s">
        <v>53</v>
      </c>
      <c r="I99" s="4" t="s">
        <v>490</v>
      </c>
      <c r="J99" s="4" t="s">
        <v>82</v>
      </c>
      <c r="K99" s="4" t="s">
        <v>491</v>
      </c>
      <c r="L99" s="4" t="s">
        <v>35</v>
      </c>
      <c r="M99" s="4" t="s">
        <v>40</v>
      </c>
      <c r="N99" s="4" t="s">
        <v>143</v>
      </c>
      <c r="O99" s="6"/>
    </row>
    <row r="100" customFormat="false" ht="22.35" hidden="false" customHeight="false" outlineLevel="0" collapsed="false">
      <c r="A100" s="16" t="s">
        <v>460</v>
      </c>
      <c r="B100" s="7" t="s">
        <v>492</v>
      </c>
      <c r="C100" s="7" t="s">
        <v>387</v>
      </c>
      <c r="D100" s="6" t="n">
        <v>0.05</v>
      </c>
      <c r="E100" s="6" t="n">
        <v>0.5</v>
      </c>
      <c r="F100" s="7" t="s">
        <v>493</v>
      </c>
      <c r="G100" s="7" t="s">
        <v>494</v>
      </c>
      <c r="H100" s="7" t="s">
        <v>53</v>
      </c>
      <c r="I100" s="7" t="s">
        <v>495</v>
      </c>
      <c r="J100" s="7" t="s">
        <v>82</v>
      </c>
      <c r="K100" s="7" t="s">
        <v>33</v>
      </c>
      <c r="L100" s="7" t="s">
        <v>35</v>
      </c>
      <c r="M100" s="7" t="s">
        <v>40</v>
      </c>
      <c r="N100" s="7" t="s">
        <v>114</v>
      </c>
      <c r="O100" s="6"/>
    </row>
    <row r="101" customFormat="false" ht="15" hidden="false" customHeight="false" outlineLevel="0" collapsed="false">
      <c r="A101" s="16" t="s">
        <v>460</v>
      </c>
      <c r="B101" s="4" t="s">
        <v>496</v>
      </c>
      <c r="C101" s="4" t="s">
        <v>497</v>
      </c>
      <c r="D101" s="5" t="n">
        <v>0.1</v>
      </c>
      <c r="E101" s="5" t="n">
        <v>0.5</v>
      </c>
      <c r="F101" s="4" t="s">
        <v>498</v>
      </c>
      <c r="G101" s="4" t="s">
        <v>19</v>
      </c>
      <c r="H101" s="4" t="s">
        <v>53</v>
      </c>
      <c r="I101" s="4" t="s">
        <v>499</v>
      </c>
      <c r="J101" s="4" t="s">
        <v>82</v>
      </c>
      <c r="K101" s="4" t="s">
        <v>33</v>
      </c>
      <c r="L101" s="4" t="s">
        <v>35</v>
      </c>
      <c r="M101" s="4" t="s">
        <v>40</v>
      </c>
      <c r="N101" s="4" t="s">
        <v>114</v>
      </c>
      <c r="O101" s="6"/>
    </row>
    <row r="102" customFormat="false" ht="22.35" hidden="false" customHeight="false" outlineLevel="0" collapsed="false">
      <c r="A102" s="16" t="s">
        <v>460</v>
      </c>
      <c r="B102" s="7" t="s">
        <v>500</v>
      </c>
      <c r="C102" s="7" t="s">
        <v>501</v>
      </c>
      <c r="D102" s="6" t="n">
        <v>0.01</v>
      </c>
      <c r="E102" s="6" t="n">
        <v>1</v>
      </c>
      <c r="F102" s="7" t="s">
        <v>502</v>
      </c>
      <c r="G102" s="7" t="s">
        <v>19</v>
      </c>
      <c r="H102" s="7" t="s">
        <v>462</v>
      </c>
      <c r="I102" s="7" t="s">
        <v>503</v>
      </c>
      <c r="J102" s="7" t="s">
        <v>82</v>
      </c>
      <c r="K102" s="7" t="s">
        <v>504</v>
      </c>
      <c r="L102" s="7" t="s">
        <v>285</v>
      </c>
      <c r="M102" s="7" t="s">
        <v>40</v>
      </c>
      <c r="N102" s="7" t="s">
        <v>143</v>
      </c>
      <c r="O102" s="6"/>
    </row>
    <row r="104" customFormat="false" ht="18" hidden="false" customHeight="true" outlineLevel="0" collapsed="false">
      <c r="A104" s="17" t="s">
        <v>505</v>
      </c>
      <c r="B104" s="17"/>
      <c r="C104" s="17"/>
      <c r="D104" s="17"/>
      <c r="E104" s="17"/>
      <c r="F104" s="17"/>
      <c r="G104" s="17"/>
      <c r="H104" s="17"/>
      <c r="I104" s="17"/>
      <c r="J104" s="17"/>
      <c r="K104" s="17"/>
      <c r="L104" s="17"/>
      <c r="M104" s="17"/>
      <c r="N104" s="17"/>
      <c r="O104" s="17"/>
    </row>
    <row r="105" customFormat="false" ht="30" hidden="false" customHeight="true" outlineLevel="0" collapsed="false">
      <c r="A105" s="18" t="s">
        <v>506</v>
      </c>
      <c r="B105" s="18"/>
      <c r="C105" s="18"/>
      <c r="D105" s="18"/>
      <c r="E105" s="18"/>
      <c r="F105" s="18"/>
      <c r="G105" s="18"/>
      <c r="H105" s="18"/>
      <c r="I105" s="18"/>
      <c r="J105" s="18"/>
      <c r="K105" s="18"/>
      <c r="L105" s="18"/>
      <c r="M105" s="18"/>
      <c r="N105" s="18"/>
      <c r="O105" s="18"/>
    </row>
  </sheetData>
  <mergeCells count="3">
    <mergeCell ref="A1:O1"/>
    <mergeCell ref="A104:O104"/>
    <mergeCell ref="A105:O105"/>
  </mergeCells>
  <conditionalFormatting sqref="O3:O102">
    <cfRule type="expression" priority="2" aboveAverage="0" equalAverage="0" bottom="0" percent="0" rank="0" text="" dxfId="0">
      <formula>AND($O3&lt;&gt;"",$O3&gt;=$D3,$O3&lt;=$E3)</formula>
    </cfRule>
    <cfRule type="expression" priority="3" aboveAverage="0" equalAverage="0" bottom="0" percent="0" rank="0" text="" dxfId="1">
      <formula>AND($O3&lt;&gt;"",$O3&gt;$E3,$O3&lt;=$E3*1.15)</formula>
    </cfRule>
    <cfRule type="expression" priority="4" aboveAverage="0" equalAverage="0" bottom="0" percent="0" rank="0" text="" dxfId="2">
      <formula>AND($O3&lt;&gt;"",OR($O3&gt;$E3*1.15,$O3&lt;$D3))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0"/>
  </cols>
  <sheetData>
    <row r="1" customFormat="false" ht="24" hidden="false" customHeight="true" outlineLevel="0" collapsed="false">
      <c r="A1" s="19" t="s">
        <v>507</v>
      </c>
      <c r="B1" s="19"/>
    </row>
    <row r="3" customFormat="false" ht="15" hidden="false" customHeight="false" outlineLevel="0" collapsed="false">
      <c r="A3" s="20" t="s">
        <v>1</v>
      </c>
      <c r="B3" s="20" t="s">
        <v>508</v>
      </c>
    </row>
    <row r="4" customFormat="false" ht="15" hidden="false" customHeight="false" outlineLevel="0" collapsed="false">
      <c r="A4" s="21" t="s">
        <v>16</v>
      </c>
      <c r="B4" s="22" t="n">
        <f aca="false">COUNTIF(Ingredients!$A$3:$A$102,A4)</f>
        <v>10</v>
      </c>
    </row>
    <row r="5" customFormat="false" ht="15" hidden="false" customHeight="false" outlineLevel="0" collapsed="false">
      <c r="A5" s="23" t="s">
        <v>78</v>
      </c>
      <c r="B5" s="22" t="n">
        <f aca="false">COUNTIF(Ingredients!$A$3:$A$102,A5)</f>
        <v>10</v>
      </c>
    </row>
    <row r="6" customFormat="false" ht="15" hidden="false" customHeight="false" outlineLevel="0" collapsed="false">
      <c r="A6" s="24" t="s">
        <v>122</v>
      </c>
      <c r="B6" s="22" t="n">
        <f aca="false">COUNTIF(Ingredients!$A$3:$A$102,A6)</f>
        <v>10</v>
      </c>
    </row>
    <row r="7" customFormat="false" ht="15" hidden="false" customHeight="false" outlineLevel="0" collapsed="false">
      <c r="A7" s="25" t="s">
        <v>181</v>
      </c>
      <c r="B7" s="22" t="n">
        <f aca="false">COUNTIF(Ingredients!$A$3:$A$102,A7)</f>
        <v>10</v>
      </c>
    </row>
    <row r="8" customFormat="false" ht="15" hidden="false" customHeight="false" outlineLevel="0" collapsed="false">
      <c r="A8" s="26" t="s">
        <v>231</v>
      </c>
      <c r="B8" s="22" t="n">
        <f aca="false">COUNTIF(Ingredients!$A$3:$A$102,A8)</f>
        <v>10</v>
      </c>
    </row>
    <row r="9" customFormat="false" ht="15" hidden="false" customHeight="false" outlineLevel="0" collapsed="false">
      <c r="A9" s="27" t="s">
        <v>286</v>
      </c>
      <c r="B9" s="22" t="n">
        <f aca="false">COUNTIF(Ingredients!$A$3:$A$102,A9)</f>
        <v>10</v>
      </c>
    </row>
    <row r="10" customFormat="false" ht="15" hidden="false" customHeight="false" outlineLevel="0" collapsed="false">
      <c r="A10" s="28" t="s">
        <v>335</v>
      </c>
      <c r="B10" s="22" t="n">
        <f aca="false">COUNTIF(Ingredients!$A$3:$A$102,A10)</f>
        <v>10</v>
      </c>
    </row>
    <row r="11" customFormat="false" ht="15" hidden="false" customHeight="false" outlineLevel="0" collapsed="false">
      <c r="A11" s="29" t="s">
        <v>378</v>
      </c>
      <c r="B11" s="22" t="n">
        <f aca="false">COUNTIF(Ingredients!$A$3:$A$102,A11)</f>
        <v>10</v>
      </c>
    </row>
    <row r="12" customFormat="false" ht="15" hidden="false" customHeight="false" outlineLevel="0" collapsed="false">
      <c r="A12" s="30" t="s">
        <v>412</v>
      </c>
      <c r="B12" s="22" t="n">
        <f aca="false">COUNTIF(Ingredients!$A$3:$A$102,A12)</f>
        <v>10</v>
      </c>
    </row>
    <row r="13" customFormat="false" ht="15" hidden="false" customHeight="false" outlineLevel="0" collapsed="false">
      <c r="A13" s="31" t="s">
        <v>460</v>
      </c>
      <c r="B13" s="22" t="n">
        <f aca="false">COUNTIF(Ingredients!$A$3:$A$102,A13)</f>
        <v>10</v>
      </c>
    </row>
    <row r="14" customFormat="false" ht="15" hidden="false" customHeight="false" outlineLevel="0" collapsed="false">
      <c r="A14" s="32" t="s">
        <v>509</v>
      </c>
      <c r="B14" s="32" t="n">
        <f aca="false">SUM(B4:B13)</f>
        <v>100</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5"/>
  </cols>
  <sheetData>
    <row r="1" customFormat="false" ht="25.5" hidden="false" customHeight="true" outlineLevel="0" collapsed="false">
      <c r="A1" s="1" t="s">
        <v>510</v>
      </c>
      <c r="B1" s="1"/>
      <c r="C1" s="1"/>
    </row>
    <row r="3" customFormat="false" ht="15" hidden="false" customHeight="false" outlineLevel="0" collapsed="false">
      <c r="A3" s="33" t="s">
        <v>511</v>
      </c>
      <c r="B3" s="34" t="s">
        <v>182</v>
      </c>
    </row>
    <row r="5" customFormat="false" ht="25.5" hidden="false" customHeight="true" outlineLevel="0" collapsed="false">
      <c r="A5" s="35" t="s">
        <v>512</v>
      </c>
      <c r="B5" s="36" t="str">
        <f aca="false">IFERROR(INDEX(Ingredients!$A$3:$A$102,MATCH($B$3,Ingredients!$B$3:$B$102,0)),"Not found")</f>
        <v>Active Ingredients - Anti-Aging</v>
      </c>
    </row>
    <row r="6" customFormat="false" ht="25.5" hidden="false" customHeight="true" outlineLevel="0" collapsed="false">
      <c r="A6" s="35" t="s">
        <v>513</v>
      </c>
      <c r="B6" s="36" t="str">
        <f aca="false">IFERROR(VLOOKUP($B$3,Ingredients!$B$3:$N$102,2,FALSE()),"Not found")</f>
        <v>0.1% - 1%</v>
      </c>
    </row>
    <row r="7" customFormat="false" ht="25.5" hidden="false" customHeight="true" outlineLevel="0" collapsed="false">
      <c r="A7" s="35" t="s">
        <v>514</v>
      </c>
      <c r="B7" s="36" t="n">
        <f aca="false">IFERROR(VLOOKUP($B$3,Ingredients!$B$3:$N$102,3,FALSE()),"Not found")</f>
        <v>0.1</v>
      </c>
    </row>
    <row r="8" customFormat="false" ht="25.5" hidden="false" customHeight="true" outlineLevel="0" collapsed="false">
      <c r="A8" s="35" t="s">
        <v>515</v>
      </c>
      <c r="B8" s="36" t="n">
        <f aca="false">IFERROR(VLOOKUP($B$3,Ingredients!$B$3:$N$102,4,FALSE()),"Not found")</f>
        <v>1</v>
      </c>
    </row>
    <row r="9" customFormat="false" ht="25.5" hidden="false" customHeight="true" outlineLevel="0" collapsed="false">
      <c r="A9" s="35" t="s">
        <v>516</v>
      </c>
      <c r="B9" s="36" t="str">
        <f aca="false">IFERROR(VLOOKUP($B$3,Ingredients!$B$3:$N$102,5,FALSE()),"Not found")</f>
        <v>Max 0.3% face products / 0.05% body lotion (2024 update) - Annex III</v>
      </c>
    </row>
    <row r="10" customFormat="false" ht="25.5" hidden="false" customHeight="true" outlineLevel="0" collapsed="false">
      <c r="A10" s="35" t="s">
        <v>517</v>
      </c>
      <c r="B10" s="36" t="str">
        <f aca="false">IFERROR(VLOOKUP($B$3,Ingredients!$B$3:$N$102,6,FALSE()),"Not found")</f>
        <v>No specific FDA concentration limit</v>
      </c>
    </row>
    <row r="11" customFormat="false" ht="25.5" hidden="false" customHeight="true" outlineLevel="0" collapsed="false">
      <c r="A11" s="35" t="s">
        <v>518</v>
      </c>
      <c r="B11" s="36" t="str">
        <f aca="false">IFERROR(VLOOKUP($B$3,Ingredients!$B$3:$N$102,7,FALSE()),"Not found")</f>
        <v>EU Annex III (2024)</v>
      </c>
    </row>
    <row r="12" customFormat="false" ht="25.5" hidden="false" customHeight="true" outlineLevel="0" collapsed="false">
      <c r="A12" s="35" t="s">
        <v>519</v>
      </c>
      <c r="B12" s="36" t="str">
        <f aca="false">IFERROR(VLOOKUP($B$3,Ingredients!$B$3:$N$102,8,FALSE()),"Not found")</f>
        <v>Irritation, peeling, photosensitivity (retinization)</v>
      </c>
    </row>
    <row r="13" customFormat="false" ht="25.5" hidden="false" customHeight="true" outlineLevel="0" collapsed="false">
      <c r="A13" s="35" t="s">
        <v>520</v>
      </c>
      <c r="B13" s="36" t="str">
        <f aca="false">IFERROR(VLOOKUP($B$3,Ingredients!$B$3:$N$102,9,FALSE()),"Not found")</f>
        <v>5.5 - 6</v>
      </c>
    </row>
    <row r="14" customFormat="false" ht="25.5" hidden="false" customHeight="true" outlineLevel="0" collapsed="false">
      <c r="A14" s="35" t="s">
        <v>521</v>
      </c>
      <c r="B14" s="36" t="str">
        <f aca="false">IFERROR(VLOOKUP($B$3,Ingredients!$B$3:$N$102,10,FALSE()),"Not found")</f>
        <v>Unstable; degrades with light/heat/air</v>
      </c>
    </row>
    <row r="15" customFormat="false" ht="25.5" hidden="false" customHeight="true" outlineLevel="0" collapsed="false">
      <c r="A15" s="35" t="s">
        <v>522</v>
      </c>
      <c r="B15" s="36" t="str">
        <f aca="false">IFERROR(VLOOKUP($B$3,Ingredients!$B$3:$N$102,11,FALSE()),"Not found")</f>
        <v>Degrades with Benzoyl Peroxide and AHA/BHA (pH mismatch/oxidation)</v>
      </c>
    </row>
    <row r="16" customFormat="false" ht="25.5" hidden="false" customHeight="true" outlineLevel="0" collapsed="false">
      <c r="A16" s="35" t="s">
        <v>523</v>
      </c>
      <c r="B16" s="36" t="str">
        <f aca="false">IFERROR(VLOOKUP($B$3,Ingredients!$B$3:$N$102,12,FALSE()),"Not found")</f>
        <v>Benzoyl Peroxide, Vitamin C, strong acids</v>
      </c>
    </row>
    <row r="17" customFormat="false" ht="25.5" hidden="false" customHeight="true" outlineLevel="0" collapsed="false">
      <c r="A17" s="35" t="s">
        <v>524</v>
      </c>
      <c r="B17" s="36" t="str">
        <f aca="false">IFERROR(VLOOKUP($B$3,Ingredients!$B$3:$N$102,13,FALSE()),"Not found")</f>
        <v>Medium</v>
      </c>
    </row>
    <row r="19" customFormat="false" ht="15" hidden="false" customHeight="true" outlineLevel="0" collapsed="false">
      <c r="A19" s="37" t="s">
        <v>525</v>
      </c>
      <c r="B19" s="37"/>
    </row>
    <row r="20" customFormat="false" ht="15" hidden="false" customHeight="false" outlineLevel="0" collapsed="false">
      <c r="A20" s="37"/>
      <c r="B20" s="37"/>
    </row>
    <row r="21" customFormat="false" ht="15" hidden="false" customHeight="false" outlineLevel="0" collapsed="false">
      <c r="A21" s="37"/>
      <c r="B21" s="37"/>
    </row>
    <row r="22" customFormat="false" ht="15" hidden="false" customHeight="false" outlineLevel="0" collapsed="false">
      <c r="A22" s="37"/>
      <c r="B22" s="37"/>
    </row>
    <row r="23" customFormat="false" ht="15" hidden="false" customHeight="false" outlineLevel="0" collapsed="false">
      <c r="A23" s="37"/>
      <c r="B23" s="37"/>
    </row>
    <row r="24" customFormat="false" ht="15" hidden="false" customHeight="false" outlineLevel="0" collapsed="false">
      <c r="A24" s="37"/>
      <c r="B24" s="37"/>
    </row>
  </sheetData>
  <mergeCells count="2">
    <mergeCell ref="A1:C1"/>
    <mergeCell ref="A19:B24"/>
  </mergeCells>
  <dataValidations count="1">
    <dataValidation allowBlank="true" errorStyle="stop" operator="between" showDropDown="false" showErrorMessage="false" showInputMessage="false" sqref="B3" type="list">
      <formula1>Ingredients!$B$3:$B$102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2026-08-22T12:18:27Z</dcterms:created>
  <dc:creator>openpyxl</dc:creator>
  <dc:description/>
  <dc:language>en-US</dc:language>
  <cp:lastModifiedBy/>
  <dcterms:modified xsi:type="dcterms:W3CDTF">2026-08-22T12:18:27Z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